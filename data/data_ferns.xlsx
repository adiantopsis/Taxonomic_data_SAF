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w_matrix" sheetId="1" state="visible" r:id="rId3"/>
    <sheet name="e_matrix" sheetId="2" state="visible" r:id="rId4"/>
    <sheet name="apendix" sheetId="3" state="visible" r:id="rId5"/>
  </sheets>
  <definedNames>
    <definedName function="false" hidden="true" localSheetId="2" name="_xlnm._FilterDatabase" vbProcedure="false">apendix!$B$1:$F$35</definedName>
    <definedName function="false" hidden="true" localSheetId="1" name="_xlnm._FilterDatabase" vbProcedure="false">e_matrix!$A$1:$M$35</definedName>
    <definedName function="false" hidden="true" localSheetId="0" name="_xlnm._FilterDatabase" vbProcedure="false">w_matrix!$A$1:$C$353</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<sst xmlns="http://schemas.openxmlformats.org/spreadsheetml/2006/main" count="896" uniqueCount="167">
  <si>
    <t xml:space="preserve">site</t>
  </si>
  <si>
    <t xml:space="preserve">taxa</t>
  </si>
  <si>
    <t xml:space="preserve">FA_New</t>
  </si>
  <si>
    <t xml:space="preserve">PR_MBA</t>
  </si>
  <si>
    <t xml:space="preserve">Abrodictyum_rigidum</t>
  </si>
  <si>
    <t xml:space="preserve">Anemia_phyllitidis</t>
  </si>
  <si>
    <t xml:space="preserve">Goniopteris_paranaensis</t>
  </si>
  <si>
    <t xml:space="preserve">Lindsaea_lancea</t>
  </si>
  <si>
    <t xml:space="preserve">Olfersia_cervina</t>
  </si>
  <si>
    <t xml:space="preserve">Trichomanes_cristatum</t>
  </si>
  <si>
    <t xml:space="preserve">RS_ACP</t>
  </si>
  <si>
    <t xml:space="preserve">Adiantum_raddianum</t>
  </si>
  <si>
    <t xml:space="preserve">Asplenium_claussenii</t>
  </si>
  <si>
    <t xml:space="preserve">Ctenitis_submarginalis</t>
  </si>
  <si>
    <t xml:space="preserve">Diplazium_herbaceum</t>
  </si>
  <si>
    <t xml:space="preserve">Doryopteris_concolor</t>
  </si>
  <si>
    <t xml:space="preserve">Doryopteris_lorentzii</t>
  </si>
  <si>
    <t xml:space="preserve">Goniopteris_riograndensis</t>
  </si>
  <si>
    <t xml:space="preserve">Goniopteris_scabra</t>
  </si>
  <si>
    <t xml:space="preserve">RS_AMS</t>
  </si>
  <si>
    <t xml:space="preserve">Christella_hispidula</t>
  </si>
  <si>
    <t xml:space="preserve">Diplazium_cristatum</t>
  </si>
  <si>
    <t xml:space="preserve">Macrothelypteris_torresiana</t>
  </si>
  <si>
    <t xml:space="preserve">Pteris_deflexa</t>
  </si>
  <si>
    <t xml:space="preserve">Pteris_denticulata</t>
  </si>
  <si>
    <t xml:space="preserve">RS_ARM</t>
  </si>
  <si>
    <t xml:space="preserve">Anemia_warmingii</t>
  </si>
  <si>
    <t xml:space="preserve">Asplenium_brasiliense</t>
  </si>
  <si>
    <t xml:space="preserve">Blechnum_occidentale</t>
  </si>
  <si>
    <t xml:space="preserve">Doryopteris_pentagona</t>
  </si>
  <si>
    <t xml:space="preserve">Megalastrum_connexum</t>
  </si>
  <si>
    <t xml:space="preserve">RS_ASR</t>
  </si>
  <si>
    <t xml:space="preserve">Asplenium_inaequilaterale</t>
  </si>
  <si>
    <t xml:space="preserve">Blechnum_austrobrasilianum</t>
  </si>
  <si>
    <t xml:space="preserve">Dennstaedtia_globulifera</t>
  </si>
  <si>
    <t xml:space="preserve">Didymochlaena_truncatula</t>
  </si>
  <si>
    <t xml:space="preserve">Lastreopsis_amplissima</t>
  </si>
  <si>
    <t xml:space="preserve">Megalastrum_oreocharis</t>
  </si>
  <si>
    <t xml:space="preserve">Neoblechnum_brasiliense</t>
  </si>
  <si>
    <t xml:space="preserve">RS_CAC</t>
  </si>
  <si>
    <t xml:space="preserve">Adiantopsis_chlorophylla</t>
  </si>
  <si>
    <t xml:space="preserve">Asplenium_abscissum</t>
  </si>
  <si>
    <t xml:space="preserve">Christella_dentata</t>
  </si>
  <si>
    <t xml:space="preserve">Ruhmora_adiantiformis</t>
  </si>
  <si>
    <t xml:space="preserve">RS_CASS</t>
  </si>
  <si>
    <t xml:space="preserve">Amauropelta_amambayensis</t>
  </si>
  <si>
    <t xml:space="preserve">Amauropelta_decurtata</t>
  </si>
  <si>
    <t xml:space="preserve">Anogramma_leptophylla</t>
  </si>
  <si>
    <t xml:space="preserve">Christella_conspersa</t>
  </si>
  <si>
    <t xml:space="preserve">Cyclosorus_interruptus</t>
  </si>
  <si>
    <t xml:space="preserve">Equisetum_giganteum</t>
  </si>
  <si>
    <t xml:space="preserve">Parablechnum_cordatum</t>
  </si>
  <si>
    <t xml:space="preserve">RS_CID_TRA</t>
  </si>
  <si>
    <t xml:space="preserve">Asplenium_serra</t>
  </si>
  <si>
    <t xml:space="preserve">Lindsaea_quadrangularis</t>
  </si>
  <si>
    <t xml:space="preserve">Pecluma_paradiseae</t>
  </si>
  <si>
    <t xml:space="preserve">Serpocaulon_latipes</t>
  </si>
  <si>
    <t xml:space="preserve">Telmatoblechnum_serrulatum</t>
  </si>
  <si>
    <t xml:space="preserve">RS_CLEO</t>
  </si>
  <si>
    <t xml:space="preserve">Adiantopsis_perfasciculata</t>
  </si>
  <si>
    <t xml:space="preserve">Blechnum_auriculatum</t>
  </si>
  <si>
    <t xml:space="preserve">RS_DP_BAN</t>
  </si>
  <si>
    <t xml:space="preserve">Goniopteris_burkartii</t>
  </si>
  <si>
    <t xml:space="preserve">Tectaria_incisa</t>
  </si>
  <si>
    <t xml:space="preserve">RS_DP_LYG</t>
  </si>
  <si>
    <t xml:space="preserve">Meniscium_serratum</t>
  </si>
  <si>
    <t xml:space="preserve">Pecluma_robusta</t>
  </si>
  <si>
    <t xml:space="preserve">RS_H1FG</t>
  </si>
  <si>
    <t xml:space="preserve">Amauropelta_recumbens</t>
  </si>
  <si>
    <t xml:space="preserve">Amauropelta_retusa</t>
  </si>
  <si>
    <t xml:space="preserve">Amauropelta_stierii</t>
  </si>
  <si>
    <t xml:space="preserve">Asplenium_martianum</t>
  </si>
  <si>
    <t xml:space="preserve">Botrypus_virginianus</t>
  </si>
  <si>
    <t xml:space="preserve">Deparia_petersenii</t>
  </si>
  <si>
    <t xml:space="preserve">Histiopteris_incisa</t>
  </si>
  <si>
    <t xml:space="preserve">Pityrogramma_chaerophylla</t>
  </si>
  <si>
    <t xml:space="preserve">Polystichum_platylepis</t>
  </si>
  <si>
    <t xml:space="preserve">RS_LPB</t>
  </si>
  <si>
    <t xml:space="preserve">RS_LUC</t>
  </si>
  <si>
    <t xml:space="preserve">Pecluma_pectinatiformis</t>
  </si>
  <si>
    <t xml:space="preserve">RS_MARI</t>
  </si>
  <si>
    <t xml:space="preserve">Adiantum_lorentzii</t>
  </si>
  <si>
    <t xml:space="preserve">RS_MS_PIX</t>
  </si>
  <si>
    <t xml:space="preserve">Amauropelta_raddii</t>
  </si>
  <si>
    <t xml:space="preserve">RS_NEST</t>
  </si>
  <si>
    <t xml:space="preserve">Asplenium_gastonis</t>
  </si>
  <si>
    <t xml:space="preserve">Asplenium_sellowianum</t>
  </si>
  <si>
    <t xml:space="preserve">RS_PMR-FOM</t>
  </si>
  <si>
    <t xml:space="preserve">Amauropelta_opposita</t>
  </si>
  <si>
    <t xml:space="preserve">Dennstaedtia_dissecta</t>
  </si>
  <si>
    <t xml:space="preserve">Eupodium_kaulfussii</t>
  </si>
  <si>
    <t xml:space="preserve">Lindsaea_botrychioides</t>
  </si>
  <si>
    <t xml:space="preserve">RS_PPIN</t>
  </si>
  <si>
    <t xml:space="preserve">Osmunda_spectabilis</t>
  </si>
  <si>
    <t xml:space="preserve">RS_RC1</t>
  </si>
  <si>
    <t xml:space="preserve">RS_RC3</t>
  </si>
  <si>
    <t xml:space="preserve">RS_TA_CUR</t>
  </si>
  <si>
    <t xml:space="preserve">RS_TA_MICH</t>
  </si>
  <si>
    <t xml:space="preserve">RS_TAIM</t>
  </si>
  <si>
    <t xml:space="preserve">RS_TAV_BOI</t>
  </si>
  <si>
    <t xml:space="preserve">Osmunda_regalis</t>
  </si>
  <si>
    <t xml:space="preserve">RS_TO_ITA</t>
  </si>
  <si>
    <t xml:space="preserve">RS_TU1</t>
  </si>
  <si>
    <t xml:space="preserve">Adiantum_pseudotinctum</t>
  </si>
  <si>
    <t xml:space="preserve">Amauropelta_ptarmica</t>
  </si>
  <si>
    <t xml:space="preserve">Amauropelta_rivularioides</t>
  </si>
  <si>
    <t xml:space="preserve">Blechnum_gracile</t>
  </si>
  <si>
    <t xml:space="preserve">Diplazium_turgidum</t>
  </si>
  <si>
    <t xml:space="preserve">Doryopteris_nobilis</t>
  </si>
  <si>
    <t xml:space="preserve">RS_TU2</t>
  </si>
  <si>
    <t xml:space="preserve">RS_TU3</t>
  </si>
  <si>
    <t xml:space="preserve">RS_TUR</t>
  </si>
  <si>
    <t xml:space="preserve">Parapolystichum_effusum</t>
  </si>
  <si>
    <t xml:space="preserve">SC_ATL</t>
  </si>
  <si>
    <t xml:space="preserve">SC_RES</t>
  </si>
  <si>
    <t xml:space="preserve">Pleopeltis_lepidopteris</t>
  </si>
  <si>
    <t xml:space="preserve">Pteridium_esculentum</t>
  </si>
  <si>
    <t xml:space="preserve">SC_SEA</t>
  </si>
  <si>
    <t xml:space="preserve">Asplenium_kunzeanum</t>
  </si>
  <si>
    <t xml:space="preserve">Asplenium_uniseriale</t>
  </si>
  <si>
    <t xml:space="preserve">Hymenasplenium_triquetrum</t>
  </si>
  <si>
    <t xml:space="preserve">Pteris_decurrens</t>
  </si>
  <si>
    <t xml:space="preserve">SC_URU</t>
  </si>
  <si>
    <t xml:space="preserve">Adiantum_pentadactylon</t>
  </si>
  <si>
    <t xml:space="preserve">Blechnum_polypodioides</t>
  </si>
  <si>
    <t xml:space="preserve">Pteris_brasiliensis</t>
  </si>
  <si>
    <t xml:space="preserve">Tectaria_pilosa</t>
  </si>
  <si>
    <t xml:space="preserve">plot_size</t>
  </si>
  <si>
    <t xml:space="preserve">samp_size</t>
  </si>
  <si>
    <t xml:space="preserve">Lat</t>
  </si>
  <si>
    <t xml:space="preserve">Long</t>
  </si>
  <si>
    <t xml:space="preserve">Flo_type</t>
  </si>
  <si>
    <t xml:space="preserve">prec_seas</t>
  </si>
  <si>
    <t xml:space="preserve">ann_prec</t>
  </si>
  <si>
    <t xml:space="preserve">max_temp_wam</t>
  </si>
  <si>
    <t xml:space="preserve">clay</t>
  </si>
  <si>
    <t xml:space="preserve">cec</t>
  </si>
  <si>
    <t xml:space="preserve">nitrogen</t>
  </si>
  <si>
    <t xml:space="preserve">ref</t>
  </si>
  <si>
    <t xml:space="preserve">Coastal woodlands</t>
  </si>
  <si>
    <t xml:space="preserve">This study</t>
  </si>
  <si>
    <t xml:space="preserve">Citadini-Zanette, V. (1984) Floristic composition and phytosociology of the terrestrial herbaceous vegetation of a forest in Torres, Rio Grande do Sul, Brazil (Portuguese). Iheringia, Série Botânica, pp. 23–62.</t>
  </si>
  <si>
    <t xml:space="preserve">Carmes, A. A., Dechoum, M. de S. and Fiaschi, P. (2019) The predominant role of soil in determining species composition of fern communities in subtropical coastal forest ecosystems. Neotropical Biology and Conservation, 14, pp. 559–575. doi: 10.3897/neotropical.14.e49028.</t>
  </si>
  <si>
    <t xml:space="preserve">Dense Rainforest</t>
  </si>
  <si>
    <t xml:space="preserve">Kozera, C. and Rodrigues, R. R. (2001) Floristic composition and phytosociological structure of the herbaceous-subshrub layer in two areas of Dense Ombrophilous Forest, Paraná, Brazil (Portuguese). Universidade Estadual de Campinas.</t>
  </si>
  <si>
    <t xml:space="preserve">Guislon, A. V. et al. (2016) Herbaceous vegetation structure in riparian landscapes in southern Santa Catarina, Brazil (Portuguese). Ambiente e Agua - An Interdisciplinary Journal of Applied Science, 11, p. 650. doi: 10.4136/ambi-agua.1881.</t>
  </si>
  <si>
    <t xml:space="preserve">Dry forest</t>
  </si>
  <si>
    <t xml:space="preserve">Graeff, V. et al. (2019) Ferns and lycophytes as a tool to evaluate environmental dissimilarity in riparian forests in southern Brazil. Revista Brasileira de Botanica, 42(3), pp. 467–476. Available at: https://doi.org/10.1007/s40415-019-00540-3.</t>
  </si>
  <si>
    <t xml:space="preserve">Diesel, S. (1991) Herbaceous/shrub phytosociological study of riparian forest in the hydrographic basin of the Rio dos Sinos (Portuguese). Pesquisas, Botânica, 42, pp. 201–257.</t>
  </si>
  <si>
    <t xml:space="preserve">Mallmann, I. T., da Silva, V. L. and Schmitt, J. L. (2016) Community structure of ferns in riparian forest: evaluation in an anthropization gradient (Portuguese). Ambiente e Agua - An Interdisciplinary Journal of Applied Science, 11. doi: 10.4136/ambi-agua.1717.</t>
  </si>
  <si>
    <t xml:space="preserve">Bauer, N. de A. (2004) Analysis of the pteridoflora in the deciduous seasonal forest of the Turvo State Park, municipality of Derrubadas, Rio Grande do Sul, Brazil (Portuguese). Universidade do Vale do Rio dos Sinos.</t>
  </si>
  <si>
    <t xml:space="preserve">Inácio, C. D. and Jarenkow, J. A. (2008) Relationships between herbaceous terrestrial synusia structure and canopy cover in seasonal forest in southern Brazil (Portuguese). Revista Brasileira de Botânica, 31. doi: 10.1590/S0100-84042008000100005.</t>
  </si>
  <si>
    <t xml:space="preserve">Araucaria Rainforest</t>
  </si>
  <si>
    <t xml:space="preserve">Mallmann, I. T. and Schmitt, J. L. (2017) Evaluation of the diversity of ferns and lycophytes in Araucaria forests focusing on botanical, edaphic, and climatic parameters (Portuguese). Universidade Feevale.</t>
  </si>
  <si>
    <t xml:space="preserve">Blume, M. and Schmitt, J. L. (2009) Comparison of the floristic composition and community structure of lycophytes and ferns between areas of mixed ombrophilous forest and secondary forest, in southern Brazil (Portuguese). Centro Universitário Feevale.</t>
  </si>
  <si>
    <t xml:space="preserve">Silva, V. L. et al. (2019) Phytosociological contrast of ferns and lycophytes from forest fragments with different surroundings matrices in southern Brazil. Brazilian Journal of Biology, 79, pp. 495–504. doi: 10.1590/1519-6984.186077.</t>
  </si>
  <si>
    <t xml:space="preserve">dos Santos, R. J. (2014) Herbaceous communities in primary and secondary Atlantic forest in southern Brazil (Portuguese). Universidade Federal do Rio Grande do Sul.</t>
  </si>
  <si>
    <t xml:space="preserve">Reference</t>
  </si>
  <si>
    <t xml:space="preserve">Latitude</t>
  </si>
  <si>
    <t xml:space="preserve">Longitude</t>
  </si>
  <si>
    <t xml:space="preserve">PS</t>
  </si>
  <si>
    <t xml:space="preserve">SS</t>
  </si>
  <si>
    <t xml:space="preserve">Physiognomy</t>
  </si>
  <si>
    <t xml:space="preserve">DR</t>
  </si>
  <si>
    <t xml:space="preserve">DF</t>
  </si>
  <si>
    <t xml:space="preserve">MR</t>
  </si>
  <si>
    <t xml:space="preserve">WSW</t>
  </si>
</sst>
</file>

<file path=xl/styles.xml><?xml version="1.0" encoding="utf-8"?>
<styleSheet xmlns="http://schemas.openxmlformats.org/spreadsheetml/2006/main">
  <numFmts count="4">
    <numFmt numFmtId="164" formatCode="General"/>
    <numFmt numFmtId="165" formatCode="#,##0.00000"/>
    <numFmt numFmtId="166" formatCode="#,##0.00"/>
    <numFmt numFmtId="167" formatCode="0.00000"/>
  </numFmts>
  <fonts count="10">
    <font>
      <sz val="11"/>
      <color rgb="FF000000"/>
      <name val="Calibri"/>
      <family val="0"/>
      <charset val="1"/>
    </font>
    <font>
      <sz val="10"/>
      <name val="Arial"/>
      <family val="0"/>
    </font>
    <font>
      <sz val="10"/>
      <name val="Arial"/>
      <family val="0"/>
    </font>
    <font>
      <sz val="10"/>
      <name val="Arial"/>
      <family val="0"/>
    </font>
    <font>
      <sz val="11"/>
      <color rgb="FFFFFFFF"/>
      <name val="Calibri"/>
      <family val="0"/>
      <charset val="1"/>
    </font>
    <font>
      <sz val="11"/>
      <color rgb="FF9C6500"/>
      <name val="Calibri"/>
      <family val="0"/>
      <charset val="1"/>
    </font>
    <font>
      <sz val="10"/>
      <name val="Arial"/>
      <family val="0"/>
      <charset val="1"/>
    </font>
    <font>
      <b val="true"/>
      <sz val="11"/>
      <color rgb="FF000000"/>
      <name val="Calibri"/>
      <family val="0"/>
      <charset val="1"/>
    </font>
    <font>
      <sz val="11"/>
      <name val="Calibri"/>
      <family val="0"/>
      <charset val="1"/>
    </font>
    <font>
      <sz val="10"/>
      <color rgb="FF000000"/>
      <name val="Arial"/>
      <family val="0"/>
      <charset val="1"/>
    </font>
  </fonts>
  <fills count="9">
    <fill>
      <patternFill patternType="none"/>
    </fill>
    <fill>
      <patternFill patternType="gray125"/>
    </fill>
    <fill>
      <patternFill patternType="solid">
        <fgColor rgb="FF8FAADC"/>
        <bgColor rgb="FF9DC3E6"/>
      </patternFill>
    </fill>
    <fill>
      <patternFill patternType="solid">
        <fgColor rgb="FFF4B183"/>
        <bgColor rgb="FFFFD966"/>
      </patternFill>
    </fill>
    <fill>
      <patternFill patternType="solid">
        <fgColor rgb="FFC9C9C9"/>
        <bgColor rgb="FF9DC3E6"/>
      </patternFill>
    </fill>
    <fill>
      <patternFill patternType="solid">
        <fgColor rgb="FFFFD966"/>
        <bgColor rgb="FFFFEB9C"/>
      </patternFill>
    </fill>
    <fill>
      <patternFill patternType="solid">
        <fgColor rgb="FF9DC3E6"/>
        <bgColor rgb="FF8FAADC"/>
      </patternFill>
    </fill>
    <fill>
      <patternFill patternType="solid">
        <fgColor rgb="FFA9D18E"/>
        <bgColor rgb="FFC9C9C9"/>
      </patternFill>
    </fill>
    <fill>
      <patternFill patternType="solid">
        <fgColor rgb="FFFFEB9C"/>
        <bgColor rgb="FFFFFFCC"/>
      </patternFill>
    </fill>
  </fills>
  <borders count="1">
    <border diagonalUp="false" diagonalDown="false">
      <left/>
      <right/>
      <top/>
      <bottom/>
      <diagonal/>
    </border>
  </borders>
  <cellStyleXfs count="3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true">
      <alignment horizontal="general" vertical="bottom" textRotation="0" wrapText="false" indent="0" shrinkToFit="false"/>
      <protection locked="true" hidden="false"/>
    </xf>
    <xf numFmtId="164" fontId="4" fillId="3" borderId="0" applyFont="true" applyBorder="false" applyAlignment="true" applyProtection="true">
      <alignment horizontal="general" vertical="bottom" textRotation="0" wrapText="false" indent="0" shrinkToFit="false"/>
      <protection locked="true" hidden="false"/>
    </xf>
    <xf numFmtId="164" fontId="4" fillId="4" borderId="0" applyFont="true" applyBorder="false" applyAlignment="true" applyProtection="true">
      <alignment horizontal="general" vertical="bottom" textRotation="0" wrapText="false" indent="0" shrinkToFit="false"/>
      <protection locked="true" hidden="false"/>
    </xf>
    <xf numFmtId="164" fontId="4" fillId="5" borderId="0" applyFont="true" applyBorder="false" applyAlignment="true" applyProtection="true">
      <alignment horizontal="general" vertical="bottom" textRotation="0" wrapText="false" indent="0" shrinkToFit="false"/>
      <protection locked="true" hidden="false"/>
    </xf>
    <xf numFmtId="164" fontId="4" fillId="6" borderId="0" applyFont="true" applyBorder="false" applyAlignment="true" applyProtection="true">
      <alignment horizontal="general" vertical="bottom" textRotation="0" wrapText="false" indent="0" shrinkToFit="false"/>
      <protection locked="true" hidden="false"/>
    </xf>
    <xf numFmtId="164" fontId="4" fillId="7" borderId="0" applyFont="true" applyBorder="fals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5" fillId="8" borderId="0" applyFont="true" applyBorder="fals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7" fontId="9" fillId="0" borderId="0" xfId="0" applyFont="true" applyBorder="false" applyAlignment="true" applyProtection="true">
      <alignment horizontal="general" vertical="bottom" textRotation="0" wrapText="false" indent="0" shrinkToFit="false"/>
      <protection locked="true" hidden="false"/>
    </xf>
  </cellXfs>
  <cellStyles count="20">
    <cellStyle name="Normal" xfId="0" builtinId="0"/>
    <cellStyle name="Comma" xfId="15" builtinId="3"/>
    <cellStyle name="Comma [0]" xfId="16" builtinId="6"/>
    <cellStyle name="Currency" xfId="17" builtinId="4"/>
    <cellStyle name="Currency [0]" xfId="18" builtinId="7"/>
    <cellStyle name="Percent" xfId="19" builtinId="5"/>
    <cellStyle name="60% - Ênfase1 2" xfId="20"/>
    <cellStyle name="60% - Ênfase2 2" xfId="21"/>
    <cellStyle name="60% - Ênfase3 2" xfId="22"/>
    <cellStyle name="60% - Ênfase4 2" xfId="23"/>
    <cellStyle name="60% - Ênfase5 2" xfId="24"/>
    <cellStyle name="60% - Ênfase6 2" xfId="25"/>
    <cellStyle name="Campo da tabela dinâmica" xfId="26"/>
    <cellStyle name="Canto da tabela dinâmica" xfId="27"/>
    <cellStyle name="Categoria da tabela dinâmica" xfId="28"/>
    <cellStyle name="Neutro 2" xfId="29"/>
    <cellStyle name="Normal 2" xfId="30"/>
    <cellStyle name="Resultado da tabela dinâmica" xfId="31"/>
    <cellStyle name="Título da tabela dinâmica" xfId="32"/>
    <cellStyle name="Valor da tabela dinâmica" xfId="33"/>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C6500"/>
      <rgbColor rgb="FF800080"/>
      <rgbColor rgb="FF008080"/>
      <rgbColor rgb="FFC9C9C9"/>
      <rgbColor rgb="FF808080"/>
      <rgbColor rgb="FF8FAADC"/>
      <rgbColor rgb="FF993366"/>
      <rgbColor rgb="FFFFFFCC"/>
      <rgbColor rgb="FFCCFFFF"/>
      <rgbColor rgb="FF660066"/>
      <rgbColor rgb="FFFF8080"/>
      <rgbColor rgb="FF0066CC"/>
      <rgbColor rgb="FFA9D18E"/>
      <rgbColor rgb="FF000080"/>
      <rgbColor rgb="FFFF00FF"/>
      <rgbColor rgb="FFFFFF00"/>
      <rgbColor rgb="FF00FFFF"/>
      <rgbColor rgb="FF800080"/>
      <rgbColor rgb="FF800000"/>
      <rgbColor rgb="FF008080"/>
      <rgbColor rgb="FF0000FF"/>
      <rgbColor rgb="FF00CCFF"/>
      <rgbColor rgb="FFCCFFFF"/>
      <rgbColor rgb="FFCCFFCC"/>
      <rgbColor rgb="FFFFEB9C"/>
      <rgbColor rgb="FF9DC3E6"/>
      <rgbColor rgb="FFF4B183"/>
      <rgbColor rgb="FFCC99FF"/>
      <rgbColor rgb="FFFFD96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0" ySplit="1" topLeftCell="A324" activePane="bottomLeft" state="frozen"/>
      <selection pane="topLeft" activeCell="A1" activeCellId="0" sqref="A1"/>
      <selection pane="bottomLeft" activeCell="D1" activeCellId="0" sqref="D1"/>
    </sheetView>
  </sheetViews>
  <sheetFormatPr defaultColWidth="9.07421875" defaultRowHeight="13.8" zeroHeight="false" outlineLevelRow="0" outlineLevelCol="0"/>
  <cols>
    <col collapsed="false" customWidth="true" hidden="false" outlineLevel="0" max="1" min="1" style="1" width="13.15"/>
    <col collapsed="false" customWidth="true" hidden="false" outlineLevel="0" max="2" min="2" style="1" width="29.14"/>
    <col collapsed="false" customWidth="true" hidden="false" outlineLevel="0" max="3" min="3" style="1" width="12.56"/>
    <col collapsed="false" customWidth="true" hidden="false" outlineLevel="0" max="16383" min="16379" style="1" width="10.16"/>
    <col collapsed="false" customWidth="true" hidden="false" outlineLevel="0" max="16384" min="16384" style="1" width="11.53"/>
  </cols>
  <sheetData>
    <row r="1" customFormat="false" ht="13.8" hidden="false" customHeight="false" outlineLevel="0" collapsed="false">
      <c r="A1" s="2" t="s">
        <v>0</v>
      </c>
      <c r="B1" s="2" t="s">
        <v>1</v>
      </c>
      <c r="C1" s="2" t="s">
        <v>2</v>
      </c>
    </row>
    <row r="2" customFormat="false" ht="13.8" hidden="false" customHeight="false" outlineLevel="0" collapsed="false">
      <c r="A2" s="2" t="s">
        <v>3</v>
      </c>
      <c r="B2" s="2" t="s">
        <v>4</v>
      </c>
      <c r="C2" s="1" t="n">
        <v>6.67</v>
      </c>
    </row>
    <row r="3" customFormat="false" ht="13.8" hidden="false" customHeight="false" outlineLevel="0" collapsed="false">
      <c r="A3" s="2" t="s">
        <v>3</v>
      </c>
      <c r="B3" s="2" t="s">
        <v>5</v>
      </c>
      <c r="C3" s="1" t="n">
        <v>35.83</v>
      </c>
    </row>
    <row r="4" customFormat="false" ht="13.8" hidden="false" customHeight="false" outlineLevel="0" collapsed="false">
      <c r="A4" s="2" t="s">
        <v>3</v>
      </c>
      <c r="B4" s="2" t="s">
        <v>6</v>
      </c>
      <c r="C4" s="1" t="n">
        <v>20</v>
      </c>
    </row>
    <row r="5" customFormat="false" ht="13.8" hidden="false" customHeight="false" outlineLevel="0" collapsed="false">
      <c r="A5" s="2" t="s">
        <v>3</v>
      </c>
      <c r="B5" s="2" t="s">
        <v>7</v>
      </c>
      <c r="C5" s="1" t="n">
        <v>39.17</v>
      </c>
    </row>
    <row r="6" customFormat="false" ht="13.8" hidden="false" customHeight="false" outlineLevel="0" collapsed="false">
      <c r="A6" s="2" t="s">
        <v>3</v>
      </c>
      <c r="B6" s="2" t="s">
        <v>8</v>
      </c>
      <c r="C6" s="1" t="n">
        <v>14.17</v>
      </c>
    </row>
    <row r="7" customFormat="false" ht="13.8" hidden="false" customHeight="false" outlineLevel="0" collapsed="false">
      <c r="A7" s="2" t="s">
        <v>3</v>
      </c>
      <c r="B7" s="2" t="s">
        <v>9</v>
      </c>
      <c r="C7" s="1" t="n">
        <v>0.83</v>
      </c>
    </row>
    <row r="8" customFormat="false" ht="13.8" hidden="false" customHeight="false" outlineLevel="0" collapsed="false">
      <c r="A8" s="1" t="s">
        <v>10</v>
      </c>
      <c r="B8" s="1" t="s">
        <v>11</v>
      </c>
      <c r="C8" s="1" t="n">
        <v>30</v>
      </c>
    </row>
    <row r="9" customFormat="false" ht="13.8" hidden="false" customHeight="false" outlineLevel="0" collapsed="false">
      <c r="A9" s="1" t="s">
        <v>10</v>
      </c>
      <c r="B9" s="2" t="s">
        <v>5</v>
      </c>
      <c r="C9" s="1" t="n">
        <v>80</v>
      </c>
    </row>
    <row r="10" customFormat="false" ht="13.8" hidden="false" customHeight="false" outlineLevel="0" collapsed="false">
      <c r="A10" s="1" t="s">
        <v>10</v>
      </c>
      <c r="B10" s="1" t="s">
        <v>12</v>
      </c>
      <c r="C10" s="1" t="n">
        <v>60</v>
      </c>
    </row>
    <row r="11" customFormat="false" ht="13.8" hidden="false" customHeight="false" outlineLevel="0" collapsed="false">
      <c r="A11" s="1" t="s">
        <v>10</v>
      </c>
      <c r="B11" s="1" t="s">
        <v>13</v>
      </c>
      <c r="C11" s="1" t="n">
        <v>100</v>
      </c>
    </row>
    <row r="12" customFormat="false" ht="13.8" hidden="false" customHeight="false" outlineLevel="0" collapsed="false">
      <c r="A12" s="1" t="s">
        <v>10</v>
      </c>
      <c r="B12" s="1" t="s">
        <v>14</v>
      </c>
      <c r="C12" s="1" t="n">
        <v>50</v>
      </c>
    </row>
    <row r="13" customFormat="false" ht="13.8" hidden="false" customHeight="false" outlineLevel="0" collapsed="false">
      <c r="A13" s="1" t="s">
        <v>10</v>
      </c>
      <c r="B13" s="1" t="s">
        <v>15</v>
      </c>
      <c r="C13" s="1" t="n">
        <v>70</v>
      </c>
    </row>
    <row r="14" customFormat="false" ht="13.8" hidden="false" customHeight="false" outlineLevel="0" collapsed="false">
      <c r="A14" s="1" t="s">
        <v>10</v>
      </c>
      <c r="B14" s="1" t="s">
        <v>16</v>
      </c>
      <c r="C14" s="1" t="n">
        <v>30</v>
      </c>
    </row>
    <row r="15" customFormat="false" ht="13.8" hidden="false" customHeight="false" outlineLevel="0" collapsed="false">
      <c r="A15" s="1" t="s">
        <v>10</v>
      </c>
      <c r="B15" s="1" t="s">
        <v>17</v>
      </c>
      <c r="C15" s="1" t="n">
        <v>50</v>
      </c>
    </row>
    <row r="16" customFormat="false" ht="13.8" hidden="false" customHeight="false" outlineLevel="0" collapsed="false">
      <c r="A16" s="1" t="s">
        <v>10</v>
      </c>
      <c r="B16" s="1" t="s">
        <v>18</v>
      </c>
      <c r="C16" s="1" t="n">
        <v>20</v>
      </c>
    </row>
    <row r="17" customFormat="false" ht="13.8" hidden="false" customHeight="false" outlineLevel="0" collapsed="false">
      <c r="A17" s="1" t="s">
        <v>19</v>
      </c>
      <c r="B17" s="2" t="s">
        <v>5</v>
      </c>
      <c r="C17" s="1" t="n">
        <v>60</v>
      </c>
    </row>
    <row r="18" customFormat="false" ht="13.8" hidden="false" customHeight="false" outlineLevel="0" collapsed="false">
      <c r="A18" s="1" t="s">
        <v>19</v>
      </c>
      <c r="B18" s="1" t="s">
        <v>12</v>
      </c>
      <c r="C18" s="1" t="n">
        <v>10</v>
      </c>
    </row>
    <row r="19" customFormat="false" ht="13.8" hidden="false" customHeight="false" outlineLevel="0" collapsed="false">
      <c r="A19" s="1" t="s">
        <v>19</v>
      </c>
      <c r="B19" s="1" t="s">
        <v>20</v>
      </c>
      <c r="C19" s="1" t="n">
        <v>30</v>
      </c>
    </row>
    <row r="20" customFormat="false" ht="13.8" hidden="false" customHeight="false" outlineLevel="0" collapsed="false">
      <c r="A20" s="1" t="s">
        <v>19</v>
      </c>
      <c r="B20" s="1" t="s">
        <v>13</v>
      </c>
      <c r="C20" s="1" t="n">
        <v>50</v>
      </c>
    </row>
    <row r="21" customFormat="false" ht="13.8" hidden="false" customHeight="false" outlineLevel="0" collapsed="false">
      <c r="A21" s="1" t="s">
        <v>19</v>
      </c>
      <c r="B21" s="1" t="s">
        <v>21</v>
      </c>
      <c r="C21" s="1" t="n">
        <v>40</v>
      </c>
    </row>
    <row r="22" customFormat="false" ht="13.8" hidden="false" customHeight="false" outlineLevel="0" collapsed="false">
      <c r="A22" s="1" t="s">
        <v>19</v>
      </c>
      <c r="B22" s="1" t="s">
        <v>14</v>
      </c>
      <c r="C22" s="1" t="n">
        <v>30</v>
      </c>
    </row>
    <row r="23" customFormat="false" ht="13.8" hidden="false" customHeight="false" outlineLevel="0" collapsed="false">
      <c r="A23" s="1" t="s">
        <v>19</v>
      </c>
      <c r="B23" s="1" t="s">
        <v>15</v>
      </c>
      <c r="C23" s="1" t="n">
        <v>30</v>
      </c>
    </row>
    <row r="24" customFormat="false" ht="13.8" hidden="false" customHeight="false" outlineLevel="0" collapsed="false">
      <c r="A24" s="1" t="s">
        <v>19</v>
      </c>
      <c r="B24" s="1" t="s">
        <v>18</v>
      </c>
      <c r="C24" s="1" t="n">
        <v>90</v>
      </c>
    </row>
    <row r="25" customFormat="false" ht="13.8" hidden="false" customHeight="false" outlineLevel="0" collapsed="false">
      <c r="A25" s="1" t="s">
        <v>19</v>
      </c>
      <c r="B25" s="1" t="s">
        <v>22</v>
      </c>
      <c r="C25" s="1" t="n">
        <v>20</v>
      </c>
    </row>
    <row r="26" customFormat="false" ht="13.8" hidden="false" customHeight="false" outlineLevel="0" collapsed="false">
      <c r="A26" s="1" t="s">
        <v>19</v>
      </c>
      <c r="B26" s="1" t="s">
        <v>23</v>
      </c>
      <c r="C26" s="1" t="n">
        <v>30</v>
      </c>
    </row>
    <row r="27" customFormat="false" ht="13.8" hidden="false" customHeight="false" outlineLevel="0" collapsed="false">
      <c r="A27" s="1" t="s">
        <v>19</v>
      </c>
      <c r="B27" s="1" t="s">
        <v>24</v>
      </c>
      <c r="C27" s="1" t="n">
        <v>40</v>
      </c>
    </row>
    <row r="28" customFormat="false" ht="13.8" hidden="false" customHeight="false" outlineLevel="0" collapsed="false">
      <c r="A28" s="2" t="s">
        <v>25</v>
      </c>
      <c r="B28" s="2" t="s">
        <v>11</v>
      </c>
      <c r="C28" s="1" t="n">
        <v>12.5</v>
      </c>
    </row>
    <row r="29" customFormat="false" ht="13.8" hidden="false" customHeight="false" outlineLevel="0" collapsed="false">
      <c r="A29" s="2" t="s">
        <v>25</v>
      </c>
      <c r="B29" s="2" t="s">
        <v>5</v>
      </c>
      <c r="C29" s="1" t="n">
        <v>25</v>
      </c>
    </row>
    <row r="30" customFormat="false" ht="13.8" hidden="false" customHeight="false" outlineLevel="0" collapsed="false">
      <c r="A30" s="2" t="s">
        <v>25</v>
      </c>
      <c r="B30" s="2" t="s">
        <v>26</v>
      </c>
      <c r="C30" s="1" t="n">
        <v>20</v>
      </c>
    </row>
    <row r="31" customFormat="false" ht="13.8" hidden="false" customHeight="false" outlineLevel="0" collapsed="false">
      <c r="A31" s="2" t="s">
        <v>25</v>
      </c>
      <c r="B31" s="2" t="s">
        <v>27</v>
      </c>
      <c r="C31" s="1" t="n">
        <v>33.3</v>
      </c>
    </row>
    <row r="32" customFormat="false" ht="13.8" hidden="false" customHeight="false" outlineLevel="0" collapsed="false">
      <c r="A32" s="2" t="s">
        <v>25</v>
      </c>
      <c r="B32" s="2" t="s">
        <v>12</v>
      </c>
      <c r="C32" s="1" t="n">
        <v>8.3</v>
      </c>
    </row>
    <row r="33" customFormat="false" ht="13.8" hidden="false" customHeight="false" outlineLevel="0" collapsed="false">
      <c r="A33" s="2" t="s">
        <v>25</v>
      </c>
      <c r="B33" s="2" t="s">
        <v>28</v>
      </c>
      <c r="C33" s="1" t="n">
        <v>4.2</v>
      </c>
    </row>
    <row r="34" customFormat="false" ht="13.8" hidden="false" customHeight="false" outlineLevel="0" collapsed="false">
      <c r="A34" s="2" t="s">
        <v>25</v>
      </c>
      <c r="B34" s="2" t="s">
        <v>21</v>
      </c>
      <c r="C34" s="1" t="n">
        <v>50</v>
      </c>
    </row>
    <row r="35" customFormat="false" ht="13.8" hidden="false" customHeight="false" outlineLevel="0" collapsed="false">
      <c r="A35" s="2" t="s">
        <v>25</v>
      </c>
      <c r="B35" s="2" t="s">
        <v>29</v>
      </c>
      <c r="C35" s="1" t="n">
        <v>4.2</v>
      </c>
    </row>
    <row r="36" customFormat="false" ht="13.8" hidden="false" customHeight="false" outlineLevel="0" collapsed="false">
      <c r="A36" s="2" t="s">
        <v>25</v>
      </c>
      <c r="B36" s="2" t="s">
        <v>18</v>
      </c>
      <c r="C36" s="1" t="n">
        <v>75</v>
      </c>
    </row>
    <row r="37" customFormat="false" ht="13.8" hidden="false" customHeight="false" outlineLevel="0" collapsed="false">
      <c r="A37" s="2" t="s">
        <v>25</v>
      </c>
      <c r="B37" s="2" t="s">
        <v>30</v>
      </c>
      <c r="C37" s="1" t="n">
        <v>25</v>
      </c>
    </row>
    <row r="38" customFormat="false" ht="13.8" hidden="false" customHeight="false" outlineLevel="0" collapsed="false">
      <c r="A38" s="2" t="s">
        <v>25</v>
      </c>
      <c r="B38" s="2" t="s">
        <v>23</v>
      </c>
      <c r="C38" s="1" t="n">
        <v>16.7</v>
      </c>
    </row>
    <row r="39" customFormat="false" ht="13.8" hidden="false" customHeight="false" outlineLevel="0" collapsed="false">
      <c r="A39" s="2" t="s">
        <v>25</v>
      </c>
      <c r="B39" s="2" t="s">
        <v>24</v>
      </c>
      <c r="C39" s="1" t="n">
        <v>8.3</v>
      </c>
    </row>
    <row r="40" customFormat="false" ht="13.8" hidden="false" customHeight="false" outlineLevel="0" collapsed="false">
      <c r="A40" s="1" t="s">
        <v>31</v>
      </c>
      <c r="B40" s="2" t="s">
        <v>5</v>
      </c>
      <c r="C40" s="1" t="n">
        <v>30</v>
      </c>
    </row>
    <row r="41" customFormat="false" ht="13.8" hidden="false" customHeight="false" outlineLevel="0" collapsed="false">
      <c r="A41" s="1" t="s">
        <v>31</v>
      </c>
      <c r="B41" s="3" t="s">
        <v>32</v>
      </c>
      <c r="C41" s="1" t="n">
        <v>20</v>
      </c>
    </row>
    <row r="42" customFormat="false" ht="13.8" hidden="false" customHeight="false" outlineLevel="0" collapsed="false">
      <c r="A42" s="1" t="s">
        <v>31</v>
      </c>
      <c r="B42" s="2" t="s">
        <v>33</v>
      </c>
      <c r="C42" s="1" t="n">
        <v>30</v>
      </c>
    </row>
    <row r="43" customFormat="false" ht="13.8" hidden="false" customHeight="false" outlineLevel="0" collapsed="false">
      <c r="A43" s="1" t="s">
        <v>31</v>
      </c>
      <c r="B43" s="2" t="s">
        <v>20</v>
      </c>
      <c r="C43" s="1" t="n">
        <v>30</v>
      </c>
    </row>
    <row r="44" customFormat="false" ht="13.8" hidden="false" customHeight="false" outlineLevel="0" collapsed="false">
      <c r="A44" s="1" t="s">
        <v>31</v>
      </c>
      <c r="B44" s="1" t="s">
        <v>13</v>
      </c>
      <c r="C44" s="1" t="n">
        <v>40</v>
      </c>
    </row>
    <row r="45" customFormat="false" ht="13.8" hidden="false" customHeight="false" outlineLevel="0" collapsed="false">
      <c r="A45" s="1" t="s">
        <v>31</v>
      </c>
      <c r="B45" s="2" t="s">
        <v>34</v>
      </c>
      <c r="C45" s="1" t="n">
        <v>20</v>
      </c>
    </row>
    <row r="46" customFormat="false" ht="13.8" hidden="false" customHeight="false" outlineLevel="0" collapsed="false">
      <c r="A46" s="1" t="s">
        <v>31</v>
      </c>
      <c r="B46" s="2" t="s">
        <v>35</v>
      </c>
      <c r="C46" s="1" t="n">
        <v>10</v>
      </c>
    </row>
    <row r="47" customFormat="false" ht="13.8" hidden="false" customHeight="false" outlineLevel="0" collapsed="false">
      <c r="A47" s="1" t="s">
        <v>31</v>
      </c>
      <c r="B47" s="2" t="s">
        <v>21</v>
      </c>
      <c r="C47" s="1" t="n">
        <v>100</v>
      </c>
    </row>
    <row r="48" customFormat="false" ht="13.8" hidden="false" customHeight="false" outlineLevel="0" collapsed="false">
      <c r="A48" s="1" t="s">
        <v>31</v>
      </c>
      <c r="B48" s="1" t="s">
        <v>16</v>
      </c>
      <c r="C48" s="1" t="n">
        <v>20</v>
      </c>
    </row>
    <row r="49" customFormat="false" ht="13.8" hidden="false" customHeight="false" outlineLevel="0" collapsed="false">
      <c r="A49" s="1" t="s">
        <v>31</v>
      </c>
      <c r="B49" s="2" t="s">
        <v>18</v>
      </c>
      <c r="C49" s="1" t="n">
        <v>80</v>
      </c>
    </row>
    <row r="50" customFormat="false" ht="13.8" hidden="false" customHeight="false" outlineLevel="0" collapsed="false">
      <c r="A50" s="1" t="s">
        <v>31</v>
      </c>
      <c r="B50" s="2" t="s">
        <v>36</v>
      </c>
      <c r="C50" s="1" t="n">
        <v>30</v>
      </c>
    </row>
    <row r="51" customFormat="false" ht="13.8" hidden="false" customHeight="false" outlineLevel="0" collapsed="false">
      <c r="A51" s="1" t="s">
        <v>31</v>
      </c>
      <c r="B51" s="2" t="s">
        <v>37</v>
      </c>
      <c r="C51" s="1" t="n">
        <v>70</v>
      </c>
    </row>
    <row r="52" customFormat="false" ht="13.8" hidden="false" customHeight="false" outlineLevel="0" collapsed="false">
      <c r="A52" s="1" t="s">
        <v>31</v>
      </c>
      <c r="B52" s="2" t="s">
        <v>38</v>
      </c>
      <c r="C52" s="1" t="n">
        <v>30</v>
      </c>
    </row>
    <row r="53" customFormat="false" ht="13.8" hidden="false" customHeight="false" outlineLevel="0" collapsed="false">
      <c r="A53" s="1" t="s">
        <v>31</v>
      </c>
      <c r="B53" s="2" t="s">
        <v>23</v>
      </c>
      <c r="C53" s="1" t="n">
        <v>20</v>
      </c>
    </row>
    <row r="54" customFormat="false" ht="13.8" hidden="false" customHeight="false" outlineLevel="0" collapsed="false">
      <c r="A54" s="2" t="s">
        <v>39</v>
      </c>
      <c r="B54" s="2" t="s">
        <v>40</v>
      </c>
      <c r="C54" s="1" t="n">
        <v>20.8</v>
      </c>
    </row>
    <row r="55" customFormat="false" ht="13.8" hidden="false" customHeight="false" outlineLevel="0" collapsed="false">
      <c r="A55" s="2" t="s">
        <v>39</v>
      </c>
      <c r="B55" s="2" t="s">
        <v>11</v>
      </c>
      <c r="C55" s="1" t="n">
        <v>16.7</v>
      </c>
    </row>
    <row r="56" customFormat="false" ht="13.8" hidden="false" customHeight="false" outlineLevel="0" collapsed="false">
      <c r="A56" s="2" t="s">
        <v>39</v>
      </c>
      <c r="B56" s="2" t="s">
        <v>5</v>
      </c>
      <c r="C56" s="1" t="n">
        <v>37.5</v>
      </c>
    </row>
    <row r="57" customFormat="false" ht="13.8" hidden="false" customHeight="false" outlineLevel="0" collapsed="false">
      <c r="A57" s="2" t="s">
        <v>39</v>
      </c>
      <c r="B57" s="2" t="s">
        <v>41</v>
      </c>
      <c r="C57" s="1" t="n">
        <v>4.2</v>
      </c>
    </row>
    <row r="58" customFormat="false" ht="13.8" hidden="false" customHeight="false" outlineLevel="0" collapsed="false">
      <c r="A58" s="2" t="s">
        <v>39</v>
      </c>
      <c r="B58" s="2" t="s">
        <v>42</v>
      </c>
      <c r="C58" s="1" t="n">
        <v>70.8</v>
      </c>
    </row>
    <row r="59" customFormat="false" ht="13.8" hidden="false" customHeight="false" outlineLevel="0" collapsed="false">
      <c r="A59" s="2" t="s">
        <v>39</v>
      </c>
      <c r="B59" s="1" t="s">
        <v>13</v>
      </c>
      <c r="C59" s="1" t="n">
        <v>66.7</v>
      </c>
    </row>
    <row r="60" customFormat="false" ht="13.8" hidden="false" customHeight="false" outlineLevel="0" collapsed="false">
      <c r="A60" s="2" t="s">
        <v>39</v>
      </c>
      <c r="B60" s="2" t="s">
        <v>21</v>
      </c>
      <c r="C60" s="1" t="n">
        <v>4.2</v>
      </c>
    </row>
    <row r="61" customFormat="false" ht="13.8" hidden="false" customHeight="false" outlineLevel="0" collapsed="false">
      <c r="A61" s="2" t="s">
        <v>39</v>
      </c>
      <c r="B61" s="1" t="s">
        <v>15</v>
      </c>
      <c r="C61" s="1" t="n">
        <v>25</v>
      </c>
    </row>
    <row r="62" customFormat="false" ht="13.8" hidden="false" customHeight="false" outlineLevel="0" collapsed="false">
      <c r="A62" s="2" t="s">
        <v>39</v>
      </c>
      <c r="B62" s="2" t="s">
        <v>29</v>
      </c>
      <c r="C62" s="1" t="n">
        <v>37.5</v>
      </c>
    </row>
    <row r="63" customFormat="false" ht="13.8" hidden="false" customHeight="false" outlineLevel="0" collapsed="false">
      <c r="A63" s="2" t="s">
        <v>39</v>
      </c>
      <c r="B63" s="1" t="s">
        <v>43</v>
      </c>
      <c r="C63" s="1" t="n">
        <v>4.2</v>
      </c>
    </row>
    <row r="64" customFormat="false" ht="13.8" hidden="false" customHeight="false" outlineLevel="0" collapsed="false">
      <c r="A64" s="1" t="s">
        <v>44</v>
      </c>
      <c r="B64" s="1" t="s">
        <v>45</v>
      </c>
      <c r="C64" s="1" t="n">
        <v>100</v>
      </c>
    </row>
    <row r="65" customFormat="false" ht="13.8" hidden="false" customHeight="false" outlineLevel="0" collapsed="false">
      <c r="A65" s="1" t="s">
        <v>44</v>
      </c>
      <c r="B65" s="1" t="s">
        <v>46</v>
      </c>
      <c r="C65" s="1" t="n">
        <v>80</v>
      </c>
    </row>
    <row r="66" customFormat="false" ht="13.8" hidden="false" customHeight="false" outlineLevel="0" collapsed="false">
      <c r="A66" s="1" t="s">
        <v>44</v>
      </c>
      <c r="B66" s="1" t="s">
        <v>47</v>
      </c>
      <c r="C66" s="1" t="n">
        <v>20</v>
      </c>
    </row>
    <row r="67" customFormat="false" ht="13.8" hidden="false" customHeight="false" outlineLevel="0" collapsed="false">
      <c r="A67" s="1" t="s">
        <v>44</v>
      </c>
      <c r="B67" s="1" t="s">
        <v>48</v>
      </c>
      <c r="C67" s="1" t="n">
        <v>100</v>
      </c>
    </row>
    <row r="68" customFormat="false" ht="13.8" hidden="false" customHeight="false" outlineLevel="0" collapsed="false">
      <c r="A68" s="1" t="s">
        <v>44</v>
      </c>
      <c r="B68" s="1" t="s">
        <v>42</v>
      </c>
      <c r="C68" s="1" t="n">
        <v>20</v>
      </c>
    </row>
    <row r="69" customFormat="false" ht="13.8" hidden="false" customHeight="false" outlineLevel="0" collapsed="false">
      <c r="A69" s="1" t="s">
        <v>44</v>
      </c>
      <c r="B69" s="1" t="s">
        <v>49</v>
      </c>
      <c r="C69" s="1" t="n">
        <v>100</v>
      </c>
    </row>
    <row r="70" customFormat="false" ht="13.8" hidden="false" customHeight="false" outlineLevel="0" collapsed="false">
      <c r="A70" s="1" t="s">
        <v>44</v>
      </c>
      <c r="B70" s="1" t="s">
        <v>50</v>
      </c>
      <c r="C70" s="1" t="n">
        <v>40</v>
      </c>
    </row>
    <row r="71" customFormat="false" ht="13.8" hidden="false" customHeight="false" outlineLevel="0" collapsed="false">
      <c r="A71" s="1" t="s">
        <v>44</v>
      </c>
      <c r="B71" s="1" t="s">
        <v>38</v>
      </c>
      <c r="C71" s="1" t="n">
        <v>100</v>
      </c>
    </row>
    <row r="72" customFormat="false" ht="13.8" hidden="false" customHeight="false" outlineLevel="0" collapsed="false">
      <c r="A72" s="1" t="s">
        <v>44</v>
      </c>
      <c r="B72" s="1" t="s">
        <v>51</v>
      </c>
      <c r="C72" s="1" t="n">
        <v>40</v>
      </c>
    </row>
    <row r="73" customFormat="false" ht="13.8" hidden="false" customHeight="false" outlineLevel="0" collapsed="false">
      <c r="A73" s="1" t="s">
        <v>52</v>
      </c>
      <c r="B73" s="1" t="s">
        <v>53</v>
      </c>
      <c r="C73" s="1" t="n">
        <v>40</v>
      </c>
    </row>
    <row r="74" customFormat="false" ht="13.8" hidden="false" customHeight="false" outlineLevel="0" collapsed="false">
      <c r="A74" s="1" t="s">
        <v>52</v>
      </c>
      <c r="B74" s="1" t="s">
        <v>54</v>
      </c>
      <c r="C74" s="1" t="n">
        <v>60</v>
      </c>
    </row>
    <row r="75" customFormat="false" ht="13.8" hidden="false" customHeight="false" outlineLevel="0" collapsed="false">
      <c r="A75" s="1" t="s">
        <v>52</v>
      </c>
      <c r="B75" s="1" t="s">
        <v>38</v>
      </c>
      <c r="C75" s="1" t="n">
        <v>80</v>
      </c>
    </row>
    <row r="76" customFormat="false" ht="13.8" hidden="false" customHeight="false" outlineLevel="0" collapsed="false">
      <c r="A76" s="1" t="s">
        <v>52</v>
      </c>
      <c r="B76" s="2" t="s">
        <v>55</v>
      </c>
      <c r="C76" s="1" t="n">
        <v>100</v>
      </c>
    </row>
    <row r="77" customFormat="false" ht="13.8" hidden="false" customHeight="false" outlineLevel="0" collapsed="false">
      <c r="A77" s="1" t="s">
        <v>52</v>
      </c>
      <c r="B77" s="1" t="s">
        <v>56</v>
      </c>
      <c r="C77" s="1" t="n">
        <v>60</v>
      </c>
    </row>
    <row r="78" customFormat="false" ht="13.8" hidden="false" customHeight="false" outlineLevel="0" collapsed="false">
      <c r="A78" s="1" t="s">
        <v>52</v>
      </c>
      <c r="B78" s="1" t="s">
        <v>57</v>
      </c>
      <c r="C78" s="1" t="n">
        <v>20</v>
      </c>
    </row>
    <row r="79" customFormat="false" ht="13.8" hidden="false" customHeight="false" outlineLevel="0" collapsed="false">
      <c r="A79" s="1" t="s">
        <v>58</v>
      </c>
      <c r="B79" s="1" t="s">
        <v>59</v>
      </c>
      <c r="C79" s="1" t="n">
        <v>50</v>
      </c>
    </row>
    <row r="80" customFormat="false" ht="13.8" hidden="false" customHeight="false" outlineLevel="0" collapsed="false">
      <c r="A80" s="1" t="s">
        <v>58</v>
      </c>
      <c r="B80" s="1" t="s">
        <v>11</v>
      </c>
      <c r="C80" s="1" t="n">
        <v>10</v>
      </c>
    </row>
    <row r="81" customFormat="false" ht="13.8" hidden="false" customHeight="false" outlineLevel="0" collapsed="false">
      <c r="A81" s="1" t="s">
        <v>58</v>
      </c>
      <c r="B81" s="2" t="s">
        <v>5</v>
      </c>
      <c r="C81" s="1" t="n">
        <v>30</v>
      </c>
    </row>
    <row r="82" customFormat="false" ht="13.8" hidden="false" customHeight="false" outlineLevel="0" collapsed="false">
      <c r="A82" s="1" t="s">
        <v>58</v>
      </c>
      <c r="B82" s="1" t="s">
        <v>12</v>
      </c>
      <c r="C82" s="1" t="n">
        <v>80</v>
      </c>
    </row>
    <row r="83" customFormat="false" ht="13.8" hidden="false" customHeight="false" outlineLevel="0" collapsed="false">
      <c r="A83" s="1" t="s">
        <v>58</v>
      </c>
      <c r="B83" s="1" t="s">
        <v>60</v>
      </c>
      <c r="C83" s="1" t="n">
        <v>90</v>
      </c>
    </row>
    <row r="84" customFormat="false" ht="13.8" hidden="false" customHeight="false" outlineLevel="0" collapsed="false">
      <c r="A84" s="1" t="s">
        <v>58</v>
      </c>
      <c r="B84" s="1" t="s">
        <v>42</v>
      </c>
      <c r="C84" s="1" t="n">
        <v>50</v>
      </c>
    </row>
    <row r="85" customFormat="false" ht="13.8" hidden="false" customHeight="false" outlineLevel="0" collapsed="false">
      <c r="A85" s="1" t="s">
        <v>58</v>
      </c>
      <c r="B85" s="1" t="s">
        <v>13</v>
      </c>
      <c r="C85" s="1" t="n">
        <v>60</v>
      </c>
    </row>
    <row r="86" customFormat="false" ht="13.8" hidden="false" customHeight="false" outlineLevel="0" collapsed="false">
      <c r="A86" s="1" t="s">
        <v>58</v>
      </c>
      <c r="B86" s="1" t="s">
        <v>29</v>
      </c>
      <c r="C86" s="1" t="n">
        <v>10</v>
      </c>
    </row>
    <row r="87" customFormat="false" ht="13.8" hidden="false" customHeight="false" outlineLevel="0" collapsed="false">
      <c r="A87" s="1" t="s">
        <v>58</v>
      </c>
      <c r="B87" s="1" t="s">
        <v>22</v>
      </c>
      <c r="C87" s="1" t="n">
        <v>10</v>
      </c>
    </row>
    <row r="88" customFormat="false" ht="13.8" hidden="false" customHeight="false" outlineLevel="0" collapsed="false">
      <c r="A88" s="1" t="s">
        <v>58</v>
      </c>
      <c r="B88" s="1" t="s">
        <v>23</v>
      </c>
      <c r="C88" s="1" t="n">
        <v>30</v>
      </c>
    </row>
    <row r="89" customFormat="false" ht="13.8" hidden="false" customHeight="false" outlineLevel="0" collapsed="false">
      <c r="A89" s="1" t="s">
        <v>61</v>
      </c>
      <c r="B89" s="1" t="s">
        <v>5</v>
      </c>
      <c r="C89" s="1" t="n">
        <v>26.3158</v>
      </c>
    </row>
    <row r="90" customFormat="false" ht="13.8" hidden="false" customHeight="false" outlineLevel="0" collapsed="false">
      <c r="A90" s="1" t="s">
        <v>61</v>
      </c>
      <c r="B90" s="1" t="s">
        <v>53</v>
      </c>
      <c r="C90" s="1" t="n">
        <v>10.5263</v>
      </c>
    </row>
    <row r="91" customFormat="false" ht="13.8" hidden="false" customHeight="false" outlineLevel="0" collapsed="false">
      <c r="A91" s="1" t="s">
        <v>61</v>
      </c>
      <c r="B91" s="1" t="s">
        <v>42</v>
      </c>
      <c r="C91" s="1" t="n">
        <v>15.7895</v>
      </c>
    </row>
    <row r="92" customFormat="false" ht="13.8" hidden="false" customHeight="false" outlineLevel="0" collapsed="false">
      <c r="A92" s="1" t="s">
        <v>61</v>
      </c>
      <c r="B92" s="1" t="s">
        <v>62</v>
      </c>
      <c r="C92" s="1" t="n">
        <v>5.2632</v>
      </c>
    </row>
    <row r="93" customFormat="false" ht="13.8" hidden="false" customHeight="false" outlineLevel="0" collapsed="false">
      <c r="A93" s="1" t="s">
        <v>61</v>
      </c>
      <c r="B93" s="2" t="s">
        <v>30</v>
      </c>
      <c r="C93" s="1" t="n">
        <v>21.0526</v>
      </c>
    </row>
    <row r="94" customFormat="false" ht="13.8" hidden="false" customHeight="false" outlineLevel="0" collapsed="false">
      <c r="A94" s="1" t="s">
        <v>61</v>
      </c>
      <c r="B94" s="1" t="s">
        <v>38</v>
      </c>
      <c r="C94" s="1" t="n">
        <v>94.7368</v>
      </c>
    </row>
    <row r="95" customFormat="false" ht="13.8" hidden="false" customHeight="false" outlineLevel="0" collapsed="false">
      <c r="A95" s="1" t="s">
        <v>61</v>
      </c>
      <c r="B95" s="2" t="s">
        <v>55</v>
      </c>
      <c r="C95" s="1" t="n">
        <v>5.2632</v>
      </c>
    </row>
    <row r="96" customFormat="false" ht="13.8" hidden="false" customHeight="false" outlineLevel="0" collapsed="false">
      <c r="A96" s="1" t="s">
        <v>61</v>
      </c>
      <c r="B96" s="1" t="s">
        <v>63</v>
      </c>
      <c r="C96" s="1" t="n">
        <v>15.7895</v>
      </c>
    </row>
    <row r="97" customFormat="false" ht="13.8" hidden="false" customHeight="false" outlineLevel="0" collapsed="false">
      <c r="A97" s="1" t="s">
        <v>64</v>
      </c>
      <c r="B97" s="1" t="s">
        <v>45</v>
      </c>
      <c r="C97" s="1" t="n">
        <v>16.6667</v>
      </c>
    </row>
    <row r="98" customFormat="false" ht="13.8" hidden="false" customHeight="false" outlineLevel="0" collapsed="false">
      <c r="A98" s="1" t="s">
        <v>64</v>
      </c>
      <c r="B98" s="1" t="s">
        <v>5</v>
      </c>
      <c r="C98" s="1" t="n">
        <v>33.3333</v>
      </c>
    </row>
    <row r="99" customFormat="false" ht="13.8" hidden="false" customHeight="false" outlineLevel="0" collapsed="false">
      <c r="A99" s="1" t="s">
        <v>64</v>
      </c>
      <c r="B99" s="1" t="s">
        <v>42</v>
      </c>
      <c r="C99" s="1" t="n">
        <v>16.6667</v>
      </c>
    </row>
    <row r="100" customFormat="false" ht="13.8" hidden="false" customHeight="false" outlineLevel="0" collapsed="false">
      <c r="A100" s="1" t="s">
        <v>64</v>
      </c>
      <c r="B100" s="1" t="s">
        <v>62</v>
      </c>
      <c r="C100" s="1" t="n">
        <v>33.3333</v>
      </c>
    </row>
    <row r="101" customFormat="false" ht="13.8" hidden="false" customHeight="false" outlineLevel="0" collapsed="false">
      <c r="A101" s="1" t="s">
        <v>64</v>
      </c>
      <c r="B101" s="2" t="s">
        <v>30</v>
      </c>
      <c r="C101" s="1" t="n">
        <v>33.3333</v>
      </c>
    </row>
    <row r="102" customFormat="false" ht="13.8" hidden="false" customHeight="false" outlineLevel="0" collapsed="false">
      <c r="A102" s="1" t="s">
        <v>64</v>
      </c>
      <c r="B102" s="1" t="s">
        <v>65</v>
      </c>
      <c r="C102" s="1" t="n">
        <v>16.6667</v>
      </c>
    </row>
    <row r="103" customFormat="false" ht="13.8" hidden="false" customHeight="false" outlineLevel="0" collapsed="false">
      <c r="A103" s="1" t="s">
        <v>64</v>
      </c>
      <c r="B103" s="1" t="s">
        <v>38</v>
      </c>
      <c r="C103" s="1" t="n">
        <v>66.6667</v>
      </c>
    </row>
    <row r="104" customFormat="false" ht="13.8" hidden="false" customHeight="false" outlineLevel="0" collapsed="false">
      <c r="A104" s="1" t="s">
        <v>64</v>
      </c>
      <c r="B104" s="1" t="s">
        <v>66</v>
      </c>
      <c r="C104" s="1" t="n">
        <v>50</v>
      </c>
    </row>
    <row r="105" customFormat="false" ht="13.8" hidden="false" customHeight="false" outlineLevel="0" collapsed="false">
      <c r="A105" s="1" t="s">
        <v>64</v>
      </c>
      <c r="B105" s="1" t="s">
        <v>63</v>
      </c>
      <c r="C105" s="1" t="n">
        <v>33.3333</v>
      </c>
    </row>
    <row r="106" customFormat="false" ht="13.8" hidden="false" customHeight="false" outlineLevel="0" collapsed="false">
      <c r="A106" s="2" t="s">
        <v>67</v>
      </c>
      <c r="B106" s="2" t="s">
        <v>11</v>
      </c>
      <c r="C106" s="1" t="n">
        <v>1.19047619047619</v>
      </c>
    </row>
    <row r="107" customFormat="false" ht="13.8" hidden="false" customHeight="false" outlineLevel="0" collapsed="false">
      <c r="A107" s="2" t="s">
        <v>67</v>
      </c>
      <c r="B107" s="2" t="s">
        <v>45</v>
      </c>
      <c r="C107" s="1" t="n">
        <v>9.52380952380952</v>
      </c>
    </row>
    <row r="108" customFormat="false" ht="13.8" hidden="false" customHeight="false" outlineLevel="0" collapsed="false">
      <c r="A108" s="2" t="s">
        <v>67</v>
      </c>
      <c r="B108" s="2" t="s">
        <v>68</v>
      </c>
      <c r="C108" s="1" t="n">
        <v>5.94285714285714</v>
      </c>
    </row>
    <row r="109" customFormat="false" ht="13.8" hidden="false" customHeight="false" outlineLevel="0" collapsed="false">
      <c r="A109" s="2" t="s">
        <v>67</v>
      </c>
      <c r="B109" s="2" t="s">
        <v>69</v>
      </c>
      <c r="C109" s="1" t="n">
        <v>30.9428571428571</v>
      </c>
    </row>
    <row r="110" customFormat="false" ht="13.8" hidden="false" customHeight="false" outlineLevel="0" collapsed="false">
      <c r="A110" s="2" t="s">
        <v>67</v>
      </c>
      <c r="B110" s="2" t="s">
        <v>70</v>
      </c>
      <c r="C110" s="1" t="n">
        <v>2.38095238095238</v>
      </c>
    </row>
    <row r="111" customFormat="false" ht="13.8" hidden="false" customHeight="false" outlineLevel="0" collapsed="false">
      <c r="A111" s="2" t="s">
        <v>67</v>
      </c>
      <c r="B111" s="2" t="s">
        <v>5</v>
      </c>
      <c r="C111" s="1" t="n">
        <v>1.19047619047619</v>
      </c>
    </row>
    <row r="112" customFormat="false" ht="13.8" hidden="false" customHeight="false" outlineLevel="0" collapsed="false">
      <c r="A112" s="2" t="s">
        <v>67</v>
      </c>
      <c r="B112" s="2" t="s">
        <v>12</v>
      </c>
      <c r="C112" s="1" t="n">
        <v>2.38095238095238</v>
      </c>
    </row>
    <row r="113" customFormat="false" ht="13.8" hidden="false" customHeight="false" outlineLevel="0" collapsed="false">
      <c r="A113" s="2" t="s">
        <v>67</v>
      </c>
      <c r="B113" s="2" t="s">
        <v>71</v>
      </c>
      <c r="C113" s="1" t="n">
        <v>7.14285714285714</v>
      </c>
    </row>
    <row r="114" customFormat="false" ht="13.8" hidden="false" customHeight="false" outlineLevel="0" collapsed="false">
      <c r="A114" s="2" t="s">
        <v>67</v>
      </c>
      <c r="B114" s="2" t="s">
        <v>60</v>
      </c>
      <c r="C114" s="1" t="n">
        <v>10.7142857142857</v>
      </c>
    </row>
    <row r="115" customFormat="false" ht="13.8" hidden="false" customHeight="false" outlineLevel="0" collapsed="false">
      <c r="A115" s="2" t="s">
        <v>67</v>
      </c>
      <c r="B115" s="2" t="s">
        <v>33</v>
      </c>
      <c r="C115" s="1" t="n">
        <v>4.75714285714286</v>
      </c>
    </row>
    <row r="116" customFormat="false" ht="13.8" hidden="false" customHeight="false" outlineLevel="0" collapsed="false">
      <c r="A116" s="2" t="s">
        <v>67</v>
      </c>
      <c r="B116" s="2" t="s">
        <v>72</v>
      </c>
      <c r="C116" s="1" t="n">
        <v>3.56666666666667</v>
      </c>
    </row>
    <row r="117" customFormat="false" ht="13.8" hidden="false" customHeight="false" outlineLevel="0" collapsed="false">
      <c r="A117" s="2" t="s">
        <v>67</v>
      </c>
      <c r="B117" s="2" t="s">
        <v>34</v>
      </c>
      <c r="C117" s="1" t="n">
        <v>35.7142857142857</v>
      </c>
    </row>
    <row r="118" customFormat="false" ht="13.8" hidden="false" customHeight="false" outlineLevel="0" collapsed="false">
      <c r="A118" s="2" t="s">
        <v>67</v>
      </c>
      <c r="B118" s="2" t="s">
        <v>73</v>
      </c>
      <c r="C118" s="1" t="n">
        <v>7.13333333333333</v>
      </c>
    </row>
    <row r="119" customFormat="false" ht="13.8" hidden="false" customHeight="false" outlineLevel="0" collapsed="false">
      <c r="A119" s="2" t="s">
        <v>67</v>
      </c>
      <c r="B119" s="2" t="s">
        <v>74</v>
      </c>
      <c r="C119" s="1" t="n">
        <v>4.76190476190476</v>
      </c>
    </row>
    <row r="120" customFormat="false" ht="13.8" hidden="false" customHeight="false" outlineLevel="0" collapsed="false">
      <c r="A120" s="2" t="s">
        <v>67</v>
      </c>
      <c r="B120" s="2" t="s">
        <v>36</v>
      </c>
      <c r="C120" s="1" t="n">
        <v>8.33333333333333</v>
      </c>
    </row>
    <row r="121" customFormat="false" ht="13.8" hidden="false" customHeight="false" outlineLevel="0" collapsed="false">
      <c r="A121" s="2" t="s">
        <v>67</v>
      </c>
      <c r="B121" s="2" t="s">
        <v>22</v>
      </c>
      <c r="C121" s="1" t="n">
        <v>7.14285714285714</v>
      </c>
    </row>
    <row r="122" customFormat="false" ht="13.8" hidden="false" customHeight="false" outlineLevel="0" collapsed="false">
      <c r="A122" s="2" t="s">
        <v>67</v>
      </c>
      <c r="B122" s="2" t="s">
        <v>38</v>
      </c>
      <c r="C122" s="1" t="n">
        <v>2.38095238095238</v>
      </c>
    </row>
    <row r="123" customFormat="false" ht="13.8" hidden="false" customHeight="false" outlineLevel="0" collapsed="false">
      <c r="A123" s="2" t="s">
        <v>67</v>
      </c>
      <c r="B123" s="2" t="s">
        <v>75</v>
      </c>
      <c r="C123" s="1" t="n">
        <v>1.19047619047619</v>
      </c>
    </row>
    <row r="124" customFormat="false" ht="13.8" hidden="false" customHeight="false" outlineLevel="0" collapsed="false">
      <c r="A124" s="2" t="s">
        <v>67</v>
      </c>
      <c r="B124" s="2" t="s">
        <v>76</v>
      </c>
      <c r="C124" s="1" t="n">
        <v>4.75714285714286</v>
      </c>
    </row>
    <row r="125" customFormat="false" ht="13.8" hidden="false" customHeight="false" outlineLevel="0" collapsed="false">
      <c r="A125" s="2" t="s">
        <v>67</v>
      </c>
      <c r="B125" s="1" t="s">
        <v>43</v>
      </c>
      <c r="C125" s="1" t="n">
        <v>23.8095238095238</v>
      </c>
    </row>
    <row r="126" customFormat="false" ht="13.8" hidden="false" customHeight="false" outlineLevel="0" collapsed="false">
      <c r="A126" s="2" t="s">
        <v>77</v>
      </c>
      <c r="B126" s="2" t="s">
        <v>11</v>
      </c>
      <c r="C126" s="1" t="n">
        <v>23.3333333333333</v>
      </c>
    </row>
    <row r="127" customFormat="false" ht="13.8" hidden="false" customHeight="false" outlineLevel="0" collapsed="false">
      <c r="A127" s="2" t="s">
        <v>77</v>
      </c>
      <c r="B127" s="2" t="s">
        <v>60</v>
      </c>
      <c r="C127" s="1" t="n">
        <v>30</v>
      </c>
    </row>
    <row r="128" customFormat="false" ht="13.8" hidden="false" customHeight="false" outlineLevel="0" collapsed="false">
      <c r="A128" s="2" t="s">
        <v>77</v>
      </c>
      <c r="B128" s="2" t="s">
        <v>29</v>
      </c>
      <c r="C128" s="1" t="n">
        <v>3.33333333333333</v>
      </c>
    </row>
    <row r="129" customFormat="false" ht="13.8" hidden="false" customHeight="false" outlineLevel="0" collapsed="false">
      <c r="A129" s="2" t="s">
        <v>77</v>
      </c>
      <c r="B129" s="2" t="s">
        <v>38</v>
      </c>
      <c r="C129" s="1" t="n">
        <v>28.8866666666667</v>
      </c>
    </row>
    <row r="130" customFormat="false" ht="13.8" hidden="false" customHeight="false" outlineLevel="0" collapsed="false">
      <c r="A130" s="2" t="s">
        <v>77</v>
      </c>
      <c r="B130" s="2" t="s">
        <v>51</v>
      </c>
      <c r="C130" s="1" t="n">
        <v>1.11</v>
      </c>
    </row>
    <row r="131" customFormat="false" ht="13.8" hidden="false" customHeight="false" outlineLevel="0" collapsed="false">
      <c r="A131" s="2" t="s">
        <v>77</v>
      </c>
      <c r="B131" s="2" t="s">
        <v>55</v>
      </c>
      <c r="C131" s="1" t="n">
        <v>2.22</v>
      </c>
    </row>
    <row r="132" customFormat="false" ht="13.8" hidden="false" customHeight="false" outlineLevel="0" collapsed="false">
      <c r="A132" s="2" t="s">
        <v>77</v>
      </c>
      <c r="B132" s="1" t="s">
        <v>43</v>
      </c>
      <c r="C132" s="1" t="n">
        <v>6.66444444444445</v>
      </c>
    </row>
    <row r="133" customFormat="false" ht="13.8" hidden="false" customHeight="false" outlineLevel="0" collapsed="false">
      <c r="A133" s="1" t="s">
        <v>78</v>
      </c>
      <c r="B133" s="1" t="s">
        <v>59</v>
      </c>
      <c r="C133" s="1" t="n">
        <v>20</v>
      </c>
    </row>
    <row r="134" customFormat="false" ht="13.8" hidden="false" customHeight="false" outlineLevel="0" collapsed="false">
      <c r="A134" s="1" t="s">
        <v>78</v>
      </c>
      <c r="B134" s="2" t="s">
        <v>5</v>
      </c>
      <c r="C134" s="1" t="n">
        <v>10</v>
      </c>
    </row>
    <row r="135" customFormat="false" ht="13.8" hidden="false" customHeight="false" outlineLevel="0" collapsed="false">
      <c r="A135" s="1" t="s">
        <v>78</v>
      </c>
      <c r="B135" s="1" t="s">
        <v>12</v>
      </c>
      <c r="C135" s="1" t="n">
        <v>70</v>
      </c>
    </row>
    <row r="136" customFormat="false" ht="13.8" hidden="false" customHeight="false" outlineLevel="0" collapsed="false">
      <c r="A136" s="1" t="s">
        <v>78</v>
      </c>
      <c r="B136" s="1" t="s">
        <v>60</v>
      </c>
      <c r="C136" s="1" t="n">
        <v>90</v>
      </c>
    </row>
    <row r="137" customFormat="false" ht="13.8" hidden="false" customHeight="false" outlineLevel="0" collapsed="false">
      <c r="A137" s="1" t="s">
        <v>78</v>
      </c>
      <c r="B137" s="1" t="s">
        <v>13</v>
      </c>
      <c r="C137" s="1" t="n">
        <v>10</v>
      </c>
    </row>
    <row r="138" customFormat="false" ht="13.8" hidden="false" customHeight="false" outlineLevel="0" collapsed="false">
      <c r="A138" s="1" t="s">
        <v>78</v>
      </c>
      <c r="B138" s="1" t="s">
        <v>29</v>
      </c>
      <c r="C138" s="1" t="n">
        <v>10</v>
      </c>
    </row>
    <row r="139" customFormat="false" ht="13.8" hidden="false" customHeight="false" outlineLevel="0" collapsed="false">
      <c r="A139" s="1" t="s">
        <v>78</v>
      </c>
      <c r="B139" s="1" t="s">
        <v>79</v>
      </c>
      <c r="C139" s="1" t="n">
        <v>10</v>
      </c>
    </row>
    <row r="140" customFormat="false" ht="13.8" hidden="false" customHeight="false" outlineLevel="0" collapsed="false">
      <c r="A140" s="1" t="s">
        <v>78</v>
      </c>
      <c r="B140" s="1" t="s">
        <v>43</v>
      </c>
      <c r="C140" s="1" t="n">
        <v>80</v>
      </c>
    </row>
    <row r="141" customFormat="false" ht="13.8" hidden="false" customHeight="false" outlineLevel="0" collapsed="false">
      <c r="A141" s="1" t="s">
        <v>80</v>
      </c>
      <c r="B141" s="1" t="s">
        <v>59</v>
      </c>
      <c r="C141" s="1" t="n">
        <v>20</v>
      </c>
    </row>
    <row r="142" customFormat="false" ht="13.8" hidden="false" customHeight="false" outlineLevel="0" collapsed="false">
      <c r="A142" s="1" t="s">
        <v>80</v>
      </c>
      <c r="B142" s="1" t="s">
        <v>81</v>
      </c>
      <c r="C142" s="1" t="n">
        <v>10</v>
      </c>
    </row>
    <row r="143" customFormat="false" ht="13.8" hidden="false" customHeight="false" outlineLevel="0" collapsed="false">
      <c r="A143" s="1" t="s">
        <v>80</v>
      </c>
      <c r="B143" s="1" t="s">
        <v>12</v>
      </c>
      <c r="C143" s="1" t="n">
        <v>30</v>
      </c>
    </row>
    <row r="144" customFormat="false" ht="13.8" hidden="false" customHeight="false" outlineLevel="0" collapsed="false">
      <c r="A144" s="1" t="s">
        <v>80</v>
      </c>
      <c r="B144" s="1" t="s">
        <v>60</v>
      </c>
      <c r="C144" s="1" t="n">
        <v>90</v>
      </c>
    </row>
    <row r="145" customFormat="false" ht="13.8" hidden="false" customHeight="false" outlineLevel="0" collapsed="false">
      <c r="A145" s="1" t="s">
        <v>80</v>
      </c>
      <c r="B145" s="1" t="s">
        <v>43</v>
      </c>
      <c r="C145" s="1" t="n">
        <v>90</v>
      </c>
    </row>
    <row r="146" customFormat="false" ht="13.8" hidden="false" customHeight="false" outlineLevel="0" collapsed="false">
      <c r="A146" s="1" t="s">
        <v>82</v>
      </c>
      <c r="B146" s="1" t="s">
        <v>83</v>
      </c>
      <c r="C146" s="1" t="n">
        <v>28.5714</v>
      </c>
    </row>
    <row r="147" customFormat="false" ht="13.8" hidden="false" customHeight="false" outlineLevel="0" collapsed="false">
      <c r="A147" s="1" t="s">
        <v>82</v>
      </c>
      <c r="B147" s="1" t="s">
        <v>5</v>
      </c>
      <c r="C147" s="1" t="n">
        <v>57.1429</v>
      </c>
    </row>
    <row r="148" customFormat="false" ht="13.8" hidden="false" customHeight="false" outlineLevel="0" collapsed="false">
      <c r="A148" s="1" t="s">
        <v>82</v>
      </c>
      <c r="B148" s="1" t="s">
        <v>71</v>
      </c>
      <c r="C148" s="1" t="n">
        <v>85.7143</v>
      </c>
    </row>
    <row r="149" customFormat="false" ht="13.8" hidden="false" customHeight="false" outlineLevel="0" collapsed="false">
      <c r="A149" s="1" t="s">
        <v>82</v>
      </c>
      <c r="B149" s="1" t="s">
        <v>42</v>
      </c>
      <c r="C149" s="1" t="n">
        <v>28.5714</v>
      </c>
    </row>
    <row r="150" customFormat="false" ht="13.8" hidden="false" customHeight="false" outlineLevel="0" collapsed="false">
      <c r="A150" s="1" t="s">
        <v>82</v>
      </c>
      <c r="B150" s="1" t="s">
        <v>62</v>
      </c>
      <c r="C150" s="1" t="n">
        <v>42.8571</v>
      </c>
    </row>
    <row r="151" customFormat="false" ht="13.8" hidden="false" customHeight="false" outlineLevel="0" collapsed="false">
      <c r="A151" s="1" t="s">
        <v>82</v>
      </c>
      <c r="B151" s="1" t="s">
        <v>54</v>
      </c>
      <c r="C151" s="1" t="n">
        <v>14.2857</v>
      </c>
    </row>
    <row r="152" customFormat="false" ht="13.8" hidden="false" customHeight="false" outlineLevel="0" collapsed="false">
      <c r="A152" s="1" t="s">
        <v>82</v>
      </c>
      <c r="B152" s="1" t="s">
        <v>38</v>
      </c>
      <c r="C152" s="1" t="n">
        <v>100</v>
      </c>
    </row>
    <row r="153" customFormat="false" ht="13.8" hidden="false" customHeight="false" outlineLevel="0" collapsed="false">
      <c r="A153" s="1" t="s">
        <v>82</v>
      </c>
      <c r="B153" s="1" t="s">
        <v>66</v>
      </c>
      <c r="C153" s="1" t="n">
        <v>57.1429</v>
      </c>
    </row>
    <row r="154" customFormat="false" ht="13.8" hidden="false" customHeight="false" outlineLevel="0" collapsed="false">
      <c r="A154" s="1" t="s">
        <v>82</v>
      </c>
      <c r="B154" s="1" t="s">
        <v>63</v>
      </c>
      <c r="C154" s="1" t="n">
        <v>14.2857</v>
      </c>
    </row>
    <row r="155" customFormat="false" ht="13.8" hidden="false" customHeight="false" outlineLevel="0" collapsed="false">
      <c r="A155" s="1" t="s">
        <v>84</v>
      </c>
      <c r="B155" s="1" t="s">
        <v>59</v>
      </c>
      <c r="C155" s="1" t="n">
        <v>50</v>
      </c>
    </row>
    <row r="156" customFormat="false" ht="13.8" hidden="false" customHeight="false" outlineLevel="0" collapsed="false">
      <c r="A156" s="1" t="s">
        <v>84</v>
      </c>
      <c r="B156" s="2" t="s">
        <v>5</v>
      </c>
      <c r="C156" s="1" t="n">
        <v>20</v>
      </c>
    </row>
    <row r="157" customFormat="false" ht="13.8" hidden="false" customHeight="false" outlineLevel="0" collapsed="false">
      <c r="A157" s="1" t="s">
        <v>84</v>
      </c>
      <c r="B157" s="1" t="s">
        <v>85</v>
      </c>
      <c r="C157" s="1" t="n">
        <v>30</v>
      </c>
    </row>
    <row r="158" customFormat="false" ht="13.8" hidden="false" customHeight="false" outlineLevel="0" collapsed="false">
      <c r="A158" s="1" t="s">
        <v>84</v>
      </c>
      <c r="B158" s="1" t="s">
        <v>86</v>
      </c>
      <c r="C158" s="1" t="n">
        <v>10</v>
      </c>
    </row>
    <row r="159" customFormat="false" ht="13.8" hidden="false" customHeight="false" outlineLevel="0" collapsed="false">
      <c r="A159" s="1" t="s">
        <v>84</v>
      </c>
      <c r="B159" s="1" t="s">
        <v>60</v>
      </c>
      <c r="C159" s="1" t="n">
        <v>40</v>
      </c>
    </row>
    <row r="160" customFormat="false" ht="13.8" hidden="false" customHeight="false" outlineLevel="0" collapsed="false">
      <c r="A160" s="1" t="s">
        <v>84</v>
      </c>
      <c r="B160" s="1" t="s">
        <v>42</v>
      </c>
      <c r="C160" s="1" t="n">
        <v>10</v>
      </c>
    </row>
    <row r="161" customFormat="false" ht="13.8" hidden="false" customHeight="false" outlineLevel="0" collapsed="false">
      <c r="A161" s="1" t="s">
        <v>84</v>
      </c>
      <c r="B161" s="1" t="s">
        <v>29</v>
      </c>
      <c r="C161" s="1" t="n">
        <v>70</v>
      </c>
    </row>
    <row r="162" customFormat="false" ht="13.8" hidden="false" customHeight="false" outlineLevel="0" collapsed="false">
      <c r="A162" s="1" t="s">
        <v>84</v>
      </c>
      <c r="B162" s="1" t="s">
        <v>43</v>
      </c>
      <c r="C162" s="1" t="n">
        <v>50</v>
      </c>
    </row>
    <row r="163" customFormat="false" ht="13.8" hidden="false" customHeight="false" outlineLevel="0" collapsed="false">
      <c r="A163" s="2" t="s">
        <v>87</v>
      </c>
      <c r="B163" s="2" t="s">
        <v>40</v>
      </c>
      <c r="C163" s="1" t="n">
        <v>1.25</v>
      </c>
    </row>
    <row r="164" customFormat="false" ht="13.8" hidden="false" customHeight="false" outlineLevel="0" collapsed="false">
      <c r="A164" s="2" t="s">
        <v>87</v>
      </c>
      <c r="B164" s="2" t="s">
        <v>11</v>
      </c>
      <c r="C164" s="1" t="n">
        <v>6.25</v>
      </c>
    </row>
    <row r="165" customFormat="false" ht="13.8" hidden="false" customHeight="false" outlineLevel="0" collapsed="false">
      <c r="A165" s="2" t="s">
        <v>87</v>
      </c>
      <c r="B165" s="2" t="s">
        <v>88</v>
      </c>
      <c r="C165" s="1" t="n">
        <v>7.5</v>
      </c>
    </row>
    <row r="166" customFormat="false" ht="13.8" hidden="false" customHeight="false" outlineLevel="0" collapsed="false">
      <c r="A166" s="2" t="s">
        <v>87</v>
      </c>
      <c r="B166" s="2" t="s">
        <v>5</v>
      </c>
      <c r="C166" s="1" t="n">
        <v>12.5</v>
      </c>
    </row>
    <row r="167" customFormat="false" ht="13.8" hidden="false" customHeight="false" outlineLevel="0" collapsed="false">
      <c r="A167" s="2" t="s">
        <v>87</v>
      </c>
      <c r="B167" s="2" t="s">
        <v>60</v>
      </c>
      <c r="C167" s="1" t="n">
        <v>20</v>
      </c>
    </row>
    <row r="168" customFormat="false" ht="13.8" hidden="false" customHeight="false" outlineLevel="0" collapsed="false">
      <c r="A168" s="2" t="s">
        <v>87</v>
      </c>
      <c r="B168" s="2" t="s">
        <v>72</v>
      </c>
      <c r="C168" s="1" t="n">
        <v>1.25</v>
      </c>
    </row>
    <row r="169" customFormat="false" ht="13.8" hidden="false" customHeight="false" outlineLevel="0" collapsed="false">
      <c r="A169" s="2" t="s">
        <v>87</v>
      </c>
      <c r="B169" s="2" t="s">
        <v>20</v>
      </c>
      <c r="C169" s="1" t="n">
        <v>26.25</v>
      </c>
    </row>
    <row r="170" customFormat="false" ht="13.8" hidden="false" customHeight="false" outlineLevel="0" collapsed="false">
      <c r="A170" s="2" t="s">
        <v>87</v>
      </c>
      <c r="B170" s="1" t="s">
        <v>13</v>
      </c>
      <c r="C170" s="1" t="n">
        <v>38.75</v>
      </c>
    </row>
    <row r="171" customFormat="false" ht="13.8" hidden="false" customHeight="false" outlineLevel="0" collapsed="false">
      <c r="A171" s="2" t="s">
        <v>87</v>
      </c>
      <c r="B171" s="2" t="s">
        <v>89</v>
      </c>
      <c r="C171" s="1" t="n">
        <v>12.5</v>
      </c>
    </row>
    <row r="172" customFormat="false" ht="13.8" hidden="false" customHeight="false" outlineLevel="0" collapsed="false">
      <c r="A172" s="2" t="s">
        <v>87</v>
      </c>
      <c r="B172" s="2" t="s">
        <v>34</v>
      </c>
      <c r="C172" s="1" t="n">
        <v>3.75</v>
      </c>
    </row>
    <row r="173" customFormat="false" ht="13.8" hidden="false" customHeight="false" outlineLevel="0" collapsed="false">
      <c r="A173" s="2" t="s">
        <v>87</v>
      </c>
      <c r="B173" s="2" t="s">
        <v>73</v>
      </c>
      <c r="C173" s="1" t="n">
        <v>1.25</v>
      </c>
    </row>
    <row r="174" customFormat="false" ht="13.8" hidden="false" customHeight="false" outlineLevel="0" collapsed="false">
      <c r="A174" s="2" t="s">
        <v>87</v>
      </c>
      <c r="B174" s="2" t="s">
        <v>14</v>
      </c>
      <c r="C174" s="1" t="n">
        <v>3.75</v>
      </c>
    </row>
    <row r="175" customFormat="false" ht="13.8" hidden="false" customHeight="true" outlineLevel="0" collapsed="false">
      <c r="A175" s="2" t="s">
        <v>87</v>
      </c>
      <c r="B175" s="2" t="s">
        <v>29</v>
      </c>
      <c r="C175" s="1" t="n">
        <v>8.75</v>
      </c>
    </row>
    <row r="176" customFormat="false" ht="13.8" hidden="false" customHeight="true" outlineLevel="0" collapsed="false">
      <c r="A176" s="2" t="s">
        <v>87</v>
      </c>
      <c r="B176" s="2" t="s">
        <v>90</v>
      </c>
      <c r="C176" s="1" t="n">
        <v>7.5</v>
      </c>
    </row>
    <row r="177" customFormat="false" ht="13.8" hidden="false" customHeight="true" outlineLevel="0" collapsed="false">
      <c r="A177" s="2" t="s">
        <v>87</v>
      </c>
      <c r="B177" s="2" t="s">
        <v>36</v>
      </c>
      <c r="C177" s="1" t="n">
        <v>43.75</v>
      </c>
    </row>
    <row r="178" customFormat="false" ht="13.8" hidden="false" customHeight="true" outlineLevel="0" collapsed="false">
      <c r="A178" s="2" t="s">
        <v>87</v>
      </c>
      <c r="B178" s="2" t="s">
        <v>91</v>
      </c>
      <c r="C178" s="1" t="n">
        <v>1.25</v>
      </c>
    </row>
    <row r="179" customFormat="false" ht="13.8" hidden="false" customHeight="true" outlineLevel="0" collapsed="false">
      <c r="A179" s="2" t="s">
        <v>87</v>
      </c>
      <c r="B179" s="2" t="s">
        <v>22</v>
      </c>
      <c r="C179" s="1" t="n">
        <v>8.75</v>
      </c>
    </row>
    <row r="180" customFormat="false" ht="13.8" hidden="false" customHeight="true" outlineLevel="0" collapsed="false">
      <c r="A180" s="2" t="s">
        <v>87</v>
      </c>
      <c r="B180" s="2" t="s">
        <v>30</v>
      </c>
      <c r="C180" s="1" t="n">
        <v>1.25</v>
      </c>
    </row>
    <row r="181" customFormat="false" ht="13.8" hidden="false" customHeight="true" outlineLevel="0" collapsed="false">
      <c r="A181" s="2" t="s">
        <v>87</v>
      </c>
      <c r="B181" s="2" t="s">
        <v>38</v>
      </c>
      <c r="C181" s="1" t="n">
        <v>2.5</v>
      </c>
    </row>
    <row r="182" customFormat="false" ht="13.8" hidden="false" customHeight="true" outlineLevel="0" collapsed="false">
      <c r="A182" s="2" t="s">
        <v>87</v>
      </c>
      <c r="B182" s="2" t="s">
        <v>76</v>
      </c>
      <c r="C182" s="1" t="n">
        <v>33.75</v>
      </c>
    </row>
    <row r="183" customFormat="false" ht="13.8" hidden="false" customHeight="true" outlineLevel="0" collapsed="false">
      <c r="A183" s="2" t="s">
        <v>87</v>
      </c>
      <c r="B183" s="2" t="s">
        <v>23</v>
      </c>
      <c r="C183" s="1" t="n">
        <v>18.75</v>
      </c>
    </row>
    <row r="184" customFormat="false" ht="13.8" hidden="false" customHeight="true" outlineLevel="0" collapsed="false">
      <c r="A184" s="2" t="s">
        <v>87</v>
      </c>
      <c r="B184" s="1" t="s">
        <v>43</v>
      </c>
      <c r="C184" s="1" t="n">
        <v>42.5</v>
      </c>
    </row>
    <row r="185" customFormat="false" ht="13.8" hidden="false" customHeight="true" outlineLevel="0" collapsed="false">
      <c r="A185" s="2" t="s">
        <v>92</v>
      </c>
      <c r="B185" s="2" t="s">
        <v>68</v>
      </c>
      <c r="C185" s="1" t="n">
        <v>34.6354166666667</v>
      </c>
    </row>
    <row r="186" customFormat="false" ht="13.8" hidden="false" customHeight="true" outlineLevel="0" collapsed="false">
      <c r="A186" s="2" t="s">
        <v>92</v>
      </c>
      <c r="B186" s="2" t="s">
        <v>69</v>
      </c>
      <c r="C186" s="1" t="n">
        <v>78.0208333333333</v>
      </c>
    </row>
    <row r="187" customFormat="false" ht="13.8" hidden="false" customHeight="true" outlineLevel="0" collapsed="false">
      <c r="A187" s="2" t="s">
        <v>92</v>
      </c>
      <c r="B187" s="2" t="s">
        <v>70</v>
      </c>
      <c r="C187" s="1" t="n">
        <v>2.075</v>
      </c>
    </row>
    <row r="188" customFormat="false" ht="13.8" hidden="false" customHeight="true" outlineLevel="0" collapsed="false">
      <c r="A188" s="2" t="s">
        <v>92</v>
      </c>
      <c r="B188" s="2" t="s">
        <v>12</v>
      </c>
      <c r="C188" s="1" t="n">
        <v>16.65</v>
      </c>
    </row>
    <row r="189" customFormat="false" ht="13.8" hidden="false" customHeight="true" outlineLevel="0" collapsed="false">
      <c r="A189" s="2" t="s">
        <v>92</v>
      </c>
      <c r="B189" s="2" t="s">
        <v>71</v>
      </c>
      <c r="C189" s="1" t="n">
        <v>22.875</v>
      </c>
    </row>
    <row r="190" customFormat="false" ht="13.8" hidden="false" customHeight="true" outlineLevel="0" collapsed="false">
      <c r="A190" s="2" t="s">
        <v>92</v>
      </c>
      <c r="B190" s="2" t="s">
        <v>34</v>
      </c>
      <c r="C190" s="1" t="n">
        <v>24.975</v>
      </c>
    </row>
    <row r="191" customFormat="false" ht="13.8" hidden="false" customHeight="true" outlineLevel="0" collapsed="false">
      <c r="A191" s="2" t="s">
        <v>92</v>
      </c>
      <c r="B191" s="2" t="s">
        <v>73</v>
      </c>
      <c r="C191" s="1" t="n">
        <v>10.375</v>
      </c>
    </row>
    <row r="192" customFormat="false" ht="13.8" hidden="false" customHeight="true" outlineLevel="0" collapsed="false">
      <c r="A192" s="2" t="s">
        <v>92</v>
      </c>
      <c r="B192" s="2" t="s">
        <v>36</v>
      </c>
      <c r="C192" s="1" t="n">
        <v>100</v>
      </c>
    </row>
    <row r="193" customFormat="false" ht="13.8" hidden="false" customHeight="true" outlineLevel="0" collapsed="false">
      <c r="A193" s="2" t="s">
        <v>92</v>
      </c>
      <c r="B193" s="2" t="s">
        <v>38</v>
      </c>
      <c r="C193" s="1" t="n">
        <v>2.075</v>
      </c>
    </row>
    <row r="194" customFormat="false" ht="13.8" hidden="false" customHeight="true" outlineLevel="0" collapsed="false">
      <c r="A194" s="2" t="s">
        <v>92</v>
      </c>
      <c r="B194" s="2" t="s">
        <v>93</v>
      </c>
      <c r="C194" s="1" t="n">
        <v>2.075</v>
      </c>
    </row>
    <row r="195" customFormat="false" ht="13.8" hidden="false" customHeight="true" outlineLevel="0" collapsed="false">
      <c r="A195" s="2" t="s">
        <v>92</v>
      </c>
      <c r="B195" s="2" t="s">
        <v>76</v>
      </c>
      <c r="C195" s="1" t="n">
        <v>2.075</v>
      </c>
    </row>
    <row r="196" customFormat="false" ht="13.8" hidden="false" customHeight="true" outlineLevel="0" collapsed="false">
      <c r="A196" s="2" t="s">
        <v>92</v>
      </c>
      <c r="B196" s="1" t="s">
        <v>43</v>
      </c>
      <c r="C196" s="1" t="n">
        <v>24.975</v>
      </c>
    </row>
    <row r="197" customFormat="false" ht="13.8" hidden="false" customHeight="true" outlineLevel="0" collapsed="false">
      <c r="A197" s="2" t="s">
        <v>94</v>
      </c>
      <c r="B197" s="2" t="s">
        <v>88</v>
      </c>
      <c r="C197" s="1" t="n">
        <v>2.5</v>
      </c>
    </row>
    <row r="198" customFormat="false" ht="13.8" hidden="false" customHeight="true" outlineLevel="0" collapsed="false">
      <c r="A198" s="2" t="s">
        <v>94</v>
      </c>
      <c r="B198" s="2" t="s">
        <v>68</v>
      </c>
      <c r="C198" s="1" t="n">
        <v>25</v>
      </c>
    </row>
    <row r="199" customFormat="false" ht="13.8" hidden="false" customHeight="true" outlineLevel="0" collapsed="false">
      <c r="A199" s="2" t="s">
        <v>94</v>
      </c>
      <c r="B199" s="2" t="s">
        <v>5</v>
      </c>
      <c r="C199" s="1" t="n">
        <v>22.5</v>
      </c>
    </row>
    <row r="200" customFormat="false" ht="13.8" hidden="false" customHeight="true" outlineLevel="0" collapsed="false">
      <c r="A200" s="2" t="s">
        <v>94</v>
      </c>
      <c r="B200" s="2" t="s">
        <v>12</v>
      </c>
      <c r="C200" s="1" t="n">
        <v>22.5</v>
      </c>
    </row>
    <row r="201" customFormat="false" ht="13.8" hidden="false" customHeight="true" outlineLevel="0" collapsed="false">
      <c r="A201" s="2" t="s">
        <v>94</v>
      </c>
      <c r="B201" s="1" t="s">
        <v>13</v>
      </c>
      <c r="C201" s="1" t="n">
        <v>87.5</v>
      </c>
    </row>
    <row r="202" customFormat="false" ht="13.8" hidden="false" customHeight="true" outlineLevel="0" collapsed="false">
      <c r="A202" s="2" t="s">
        <v>94</v>
      </c>
      <c r="B202" s="2" t="s">
        <v>89</v>
      </c>
      <c r="C202" s="1" t="n">
        <v>15</v>
      </c>
    </row>
    <row r="203" customFormat="false" ht="13.8" hidden="false" customHeight="true" outlineLevel="0" collapsed="false">
      <c r="A203" s="2" t="s">
        <v>94</v>
      </c>
      <c r="B203" s="2" t="s">
        <v>34</v>
      </c>
      <c r="C203" s="1" t="n">
        <v>25</v>
      </c>
    </row>
    <row r="204" customFormat="false" ht="13.8" hidden="false" customHeight="true" outlineLevel="0" collapsed="false">
      <c r="A204" s="2" t="s">
        <v>94</v>
      </c>
      <c r="B204" s="2" t="s">
        <v>14</v>
      </c>
      <c r="C204" s="1" t="n">
        <v>27.5</v>
      </c>
    </row>
    <row r="205" customFormat="false" ht="13.8" hidden="false" customHeight="true" outlineLevel="0" collapsed="false">
      <c r="A205" s="2" t="s">
        <v>94</v>
      </c>
      <c r="B205" s="2" t="s">
        <v>90</v>
      </c>
      <c r="C205" s="1" t="n">
        <v>2.5</v>
      </c>
    </row>
    <row r="206" customFormat="false" ht="13.8" hidden="false" customHeight="true" outlineLevel="0" collapsed="false">
      <c r="A206" s="2" t="s">
        <v>94</v>
      </c>
      <c r="B206" s="2" t="s">
        <v>17</v>
      </c>
      <c r="C206" s="1" t="n">
        <v>27.5</v>
      </c>
    </row>
    <row r="207" customFormat="false" ht="13.8" hidden="false" customHeight="true" outlineLevel="0" collapsed="false">
      <c r="A207" s="2" t="s">
        <v>94</v>
      </c>
      <c r="B207" s="2" t="s">
        <v>30</v>
      </c>
      <c r="C207" s="1" t="n">
        <v>97.5</v>
      </c>
    </row>
    <row r="208" customFormat="false" ht="13.8" hidden="false" customHeight="true" outlineLevel="0" collapsed="false">
      <c r="A208" s="2" t="s">
        <v>94</v>
      </c>
      <c r="B208" s="2" t="s">
        <v>76</v>
      </c>
      <c r="C208" s="1" t="n">
        <v>45</v>
      </c>
    </row>
    <row r="209" customFormat="false" ht="13.8" hidden="false" customHeight="true" outlineLevel="0" collapsed="false">
      <c r="A209" s="2" t="s">
        <v>94</v>
      </c>
      <c r="B209" s="2" t="s">
        <v>23</v>
      </c>
      <c r="C209" s="1" t="n">
        <v>75</v>
      </c>
    </row>
    <row r="210" customFormat="false" ht="13.8" hidden="false" customHeight="true" outlineLevel="0" collapsed="false">
      <c r="A210" s="2" t="s">
        <v>95</v>
      </c>
      <c r="B210" s="2" t="s">
        <v>11</v>
      </c>
      <c r="C210" s="1" t="n">
        <v>1.25</v>
      </c>
    </row>
    <row r="211" customFormat="false" ht="13.8" hidden="false" customHeight="true" outlineLevel="0" collapsed="false">
      <c r="A211" s="2" t="s">
        <v>95</v>
      </c>
      <c r="B211" s="2" t="s">
        <v>88</v>
      </c>
      <c r="C211" s="1" t="n">
        <v>15</v>
      </c>
    </row>
    <row r="212" customFormat="false" ht="13.8" hidden="false" customHeight="true" outlineLevel="0" collapsed="false">
      <c r="A212" s="2" t="s">
        <v>95</v>
      </c>
      <c r="B212" s="2" t="s">
        <v>5</v>
      </c>
      <c r="C212" s="1" t="n">
        <v>57.5</v>
      </c>
    </row>
    <row r="213" customFormat="false" ht="13.8" hidden="false" customHeight="true" outlineLevel="0" collapsed="false">
      <c r="A213" s="2" t="s">
        <v>95</v>
      </c>
      <c r="B213" s="2" t="s">
        <v>12</v>
      </c>
      <c r="C213" s="1" t="n">
        <v>3.75</v>
      </c>
    </row>
    <row r="214" customFormat="false" ht="13.8" hidden="false" customHeight="true" outlineLevel="0" collapsed="false">
      <c r="A214" s="2" t="s">
        <v>95</v>
      </c>
      <c r="B214" s="2" t="s">
        <v>42</v>
      </c>
      <c r="C214" s="1" t="n">
        <v>11.25</v>
      </c>
    </row>
    <row r="215" customFormat="false" ht="13.8" hidden="false" customHeight="true" outlineLevel="0" collapsed="false">
      <c r="A215" s="2" t="s">
        <v>95</v>
      </c>
      <c r="B215" s="1" t="s">
        <v>13</v>
      </c>
      <c r="C215" s="1" t="n">
        <v>80</v>
      </c>
    </row>
    <row r="216" customFormat="false" ht="13.8" hidden="false" customHeight="true" outlineLevel="0" collapsed="false">
      <c r="A216" s="2" t="s">
        <v>95</v>
      </c>
      <c r="B216" s="2" t="s">
        <v>34</v>
      </c>
      <c r="C216" s="1" t="n">
        <v>16.25</v>
      </c>
    </row>
    <row r="217" customFormat="false" ht="13.8" hidden="false" customHeight="true" outlineLevel="0" collapsed="false">
      <c r="A217" s="2" t="s">
        <v>95</v>
      </c>
      <c r="B217" s="2" t="s">
        <v>73</v>
      </c>
      <c r="C217" s="1" t="n">
        <v>30</v>
      </c>
    </row>
    <row r="218" customFormat="false" ht="13.8" hidden="false" customHeight="true" outlineLevel="0" collapsed="false">
      <c r="A218" s="2" t="s">
        <v>95</v>
      </c>
      <c r="B218" s="1" t="s">
        <v>16</v>
      </c>
      <c r="C218" s="1" t="n">
        <v>2.5</v>
      </c>
    </row>
    <row r="219" customFormat="false" ht="13.8" hidden="false" customHeight="true" outlineLevel="0" collapsed="false">
      <c r="A219" s="2" t="s">
        <v>95</v>
      </c>
      <c r="B219" s="2" t="s">
        <v>17</v>
      </c>
      <c r="C219" s="1" t="n">
        <v>26.25</v>
      </c>
    </row>
    <row r="220" customFormat="false" ht="13.8" hidden="false" customHeight="true" outlineLevel="0" collapsed="false">
      <c r="A220" s="2" t="s">
        <v>95</v>
      </c>
      <c r="B220" s="2" t="s">
        <v>18</v>
      </c>
      <c r="C220" s="1" t="n">
        <v>11.25</v>
      </c>
    </row>
    <row r="221" customFormat="false" ht="13.8" hidden="false" customHeight="true" outlineLevel="0" collapsed="false">
      <c r="A221" s="2" t="s">
        <v>95</v>
      </c>
      <c r="B221" s="2" t="s">
        <v>22</v>
      </c>
      <c r="C221" s="1" t="n">
        <v>11.25</v>
      </c>
    </row>
    <row r="222" customFormat="false" ht="13.8" hidden="false" customHeight="true" outlineLevel="0" collapsed="false">
      <c r="A222" s="2" t="s">
        <v>95</v>
      </c>
      <c r="B222" s="2" t="s">
        <v>30</v>
      </c>
      <c r="C222" s="1" t="n">
        <v>11.25</v>
      </c>
    </row>
    <row r="223" customFormat="false" ht="13.8" hidden="false" customHeight="true" outlineLevel="0" collapsed="false">
      <c r="A223" s="2" t="s">
        <v>95</v>
      </c>
      <c r="B223" s="2" t="s">
        <v>38</v>
      </c>
      <c r="C223" s="1" t="n">
        <v>21.25</v>
      </c>
    </row>
    <row r="224" customFormat="false" ht="13.8" hidden="false" customHeight="true" outlineLevel="0" collapsed="false">
      <c r="A224" s="2" t="s">
        <v>95</v>
      </c>
      <c r="B224" s="2" t="s">
        <v>23</v>
      </c>
      <c r="C224" s="1" t="n">
        <v>11.25</v>
      </c>
    </row>
    <row r="225" customFormat="false" ht="13.8" hidden="false" customHeight="true" outlineLevel="0" collapsed="false">
      <c r="A225" s="2" t="s">
        <v>95</v>
      </c>
      <c r="B225" s="1" t="s">
        <v>43</v>
      </c>
      <c r="C225" s="1" t="n">
        <v>1.25</v>
      </c>
    </row>
    <row r="226" customFormat="false" ht="13.8" hidden="false" customHeight="true" outlineLevel="0" collapsed="false">
      <c r="A226" s="1" t="s">
        <v>96</v>
      </c>
      <c r="B226" s="1" t="s">
        <v>53</v>
      </c>
      <c r="C226" s="1" t="n">
        <v>100</v>
      </c>
    </row>
    <row r="227" customFormat="false" ht="13.8" hidden="false" customHeight="true" outlineLevel="0" collapsed="false">
      <c r="A227" s="1" t="s">
        <v>96</v>
      </c>
      <c r="B227" s="1" t="s">
        <v>54</v>
      </c>
      <c r="C227" s="1" t="n">
        <v>33.3333</v>
      </c>
    </row>
    <row r="228" customFormat="false" ht="13.8" hidden="false" customHeight="true" outlineLevel="0" collapsed="false">
      <c r="A228" s="1" t="s">
        <v>96</v>
      </c>
      <c r="B228" s="1" t="s">
        <v>38</v>
      </c>
      <c r="C228" s="1" t="n">
        <v>100</v>
      </c>
    </row>
    <row r="229" customFormat="false" ht="13.8" hidden="false" customHeight="true" outlineLevel="0" collapsed="false">
      <c r="A229" s="1" t="s">
        <v>96</v>
      </c>
      <c r="B229" s="2" t="s">
        <v>55</v>
      </c>
      <c r="C229" s="1" t="n">
        <v>83.3333</v>
      </c>
    </row>
    <row r="230" customFormat="false" ht="13.8" hidden="false" customHeight="true" outlineLevel="0" collapsed="false">
      <c r="A230" s="1" t="s">
        <v>96</v>
      </c>
      <c r="B230" s="1" t="s">
        <v>56</v>
      </c>
      <c r="C230" s="1" t="n">
        <v>83.3333</v>
      </c>
    </row>
    <row r="231" customFormat="false" ht="13.8" hidden="false" customHeight="true" outlineLevel="0" collapsed="false">
      <c r="A231" s="1" t="s">
        <v>96</v>
      </c>
      <c r="B231" s="1" t="s">
        <v>57</v>
      </c>
      <c r="C231" s="1" t="n">
        <v>16.6667</v>
      </c>
    </row>
    <row r="232" customFormat="false" ht="13.8" hidden="false" customHeight="true" outlineLevel="0" collapsed="false">
      <c r="A232" s="1" t="s">
        <v>96</v>
      </c>
      <c r="B232" s="1" t="s">
        <v>9</v>
      </c>
      <c r="C232" s="1" t="n">
        <v>16.6667</v>
      </c>
    </row>
    <row r="233" customFormat="false" ht="13.8" hidden="false" customHeight="true" outlineLevel="0" collapsed="false">
      <c r="A233" s="1" t="s">
        <v>97</v>
      </c>
      <c r="B233" s="1" t="s">
        <v>53</v>
      </c>
      <c r="C233" s="1" t="n">
        <v>100</v>
      </c>
    </row>
    <row r="234" customFormat="false" ht="13.8" hidden="false" customHeight="true" outlineLevel="0" collapsed="false">
      <c r="A234" s="1" t="s">
        <v>97</v>
      </c>
      <c r="B234" s="1" t="s">
        <v>54</v>
      </c>
      <c r="C234" s="1" t="n">
        <v>57.1429</v>
      </c>
    </row>
    <row r="235" customFormat="false" ht="13.8" hidden="false" customHeight="true" outlineLevel="0" collapsed="false">
      <c r="A235" s="1" t="s">
        <v>97</v>
      </c>
      <c r="B235" s="1" t="s">
        <v>38</v>
      </c>
      <c r="C235" s="1" t="n">
        <v>71.4286</v>
      </c>
    </row>
    <row r="236" customFormat="false" ht="13.8" hidden="false" customHeight="true" outlineLevel="0" collapsed="false">
      <c r="A236" s="1" t="s">
        <v>97</v>
      </c>
      <c r="B236" s="2" t="s">
        <v>55</v>
      </c>
      <c r="C236" s="1" t="n">
        <v>57.1429</v>
      </c>
    </row>
    <row r="237" customFormat="false" ht="13.8" hidden="false" customHeight="true" outlineLevel="0" collapsed="false">
      <c r="A237" s="1" t="s">
        <v>97</v>
      </c>
      <c r="B237" s="1" t="s">
        <v>56</v>
      </c>
      <c r="C237" s="1" t="n">
        <v>14.2857</v>
      </c>
    </row>
    <row r="238" customFormat="false" ht="13.8" hidden="false" customHeight="true" outlineLevel="0" collapsed="false">
      <c r="A238" s="1" t="s">
        <v>98</v>
      </c>
      <c r="B238" s="1" t="s">
        <v>45</v>
      </c>
      <c r="C238" s="1" t="n">
        <v>50</v>
      </c>
    </row>
    <row r="239" customFormat="false" ht="13.8" hidden="false" customHeight="true" outlineLevel="0" collapsed="false">
      <c r="A239" s="1" t="s">
        <v>98</v>
      </c>
      <c r="B239" s="1" t="s">
        <v>46</v>
      </c>
      <c r="C239" s="1" t="n">
        <v>12.5</v>
      </c>
    </row>
    <row r="240" customFormat="false" ht="13.8" hidden="false" customHeight="true" outlineLevel="0" collapsed="false">
      <c r="A240" s="1" t="s">
        <v>98</v>
      </c>
      <c r="B240" s="1" t="s">
        <v>48</v>
      </c>
      <c r="C240" s="1" t="n">
        <v>50</v>
      </c>
    </row>
    <row r="241" customFormat="false" ht="13.8" hidden="false" customHeight="true" outlineLevel="0" collapsed="false">
      <c r="A241" s="1" t="s">
        <v>98</v>
      </c>
      <c r="B241" s="1" t="s">
        <v>49</v>
      </c>
      <c r="C241" s="1" t="n">
        <v>62.5</v>
      </c>
    </row>
    <row r="242" customFormat="false" ht="13.8" hidden="false" customHeight="true" outlineLevel="0" collapsed="false">
      <c r="A242" s="1" t="s">
        <v>98</v>
      </c>
      <c r="B242" s="1" t="s">
        <v>50</v>
      </c>
      <c r="C242" s="1" t="n">
        <v>75</v>
      </c>
    </row>
    <row r="243" customFormat="false" ht="13.8" hidden="false" customHeight="true" outlineLevel="0" collapsed="false">
      <c r="A243" s="1" t="s">
        <v>98</v>
      </c>
      <c r="B243" s="1" t="s">
        <v>38</v>
      </c>
      <c r="C243" s="1" t="n">
        <v>100</v>
      </c>
    </row>
    <row r="244" customFormat="false" ht="13.8" hidden="false" customHeight="true" outlineLevel="0" collapsed="false">
      <c r="A244" s="1" t="s">
        <v>98</v>
      </c>
      <c r="B244" s="1" t="s">
        <v>57</v>
      </c>
      <c r="C244" s="1" t="n">
        <v>12.5</v>
      </c>
    </row>
    <row r="245" customFormat="false" ht="13.8" hidden="false" customHeight="true" outlineLevel="0" collapsed="false">
      <c r="A245" s="1" t="s">
        <v>99</v>
      </c>
      <c r="B245" s="1" t="s">
        <v>45</v>
      </c>
      <c r="C245" s="1" t="n">
        <v>26.6667</v>
      </c>
    </row>
    <row r="246" customFormat="false" ht="13.8" hidden="false" customHeight="true" outlineLevel="0" collapsed="false">
      <c r="A246" s="1" t="s">
        <v>99</v>
      </c>
      <c r="B246" s="1" t="s">
        <v>48</v>
      </c>
      <c r="C246" s="1" t="n">
        <v>33.3333</v>
      </c>
    </row>
    <row r="247" customFormat="false" ht="13.8" hidden="false" customHeight="true" outlineLevel="0" collapsed="false">
      <c r="A247" s="1" t="s">
        <v>99</v>
      </c>
      <c r="B247" s="1" t="s">
        <v>38</v>
      </c>
      <c r="C247" s="1" t="n">
        <v>100</v>
      </c>
    </row>
    <row r="248" customFormat="false" ht="13.8" hidden="false" customHeight="true" outlineLevel="0" collapsed="false">
      <c r="A248" s="1" t="s">
        <v>99</v>
      </c>
      <c r="B248" s="1" t="s">
        <v>100</v>
      </c>
      <c r="C248" s="1" t="n">
        <v>6.6667</v>
      </c>
    </row>
    <row r="249" customFormat="false" ht="13.8" hidden="false" customHeight="true" outlineLevel="0" collapsed="false">
      <c r="A249" s="1" t="s">
        <v>99</v>
      </c>
      <c r="B249" s="1" t="s">
        <v>51</v>
      </c>
      <c r="C249" s="1" t="n">
        <v>13.3333</v>
      </c>
    </row>
    <row r="250" customFormat="false" ht="13.8" hidden="false" customHeight="true" outlineLevel="0" collapsed="false">
      <c r="A250" s="1" t="s">
        <v>99</v>
      </c>
      <c r="B250" s="2" t="s">
        <v>55</v>
      </c>
      <c r="C250" s="1" t="n">
        <v>66.6667</v>
      </c>
    </row>
    <row r="251" customFormat="false" ht="13.8" hidden="false" customHeight="true" outlineLevel="0" collapsed="false">
      <c r="A251" s="1" t="s">
        <v>99</v>
      </c>
      <c r="B251" s="1" t="s">
        <v>57</v>
      </c>
      <c r="C251" s="1" t="n">
        <v>13.3333</v>
      </c>
    </row>
    <row r="252" customFormat="false" ht="13.8" hidden="false" customHeight="true" outlineLevel="0" collapsed="false">
      <c r="A252" s="1" t="s">
        <v>101</v>
      </c>
      <c r="B252" s="1" t="s">
        <v>53</v>
      </c>
      <c r="C252" s="1" t="n">
        <v>100</v>
      </c>
    </row>
    <row r="253" customFormat="false" ht="13.8" hidden="false" customHeight="true" outlineLevel="0" collapsed="false">
      <c r="A253" s="1" t="s">
        <v>101</v>
      </c>
      <c r="B253" s="1" t="s">
        <v>38</v>
      </c>
      <c r="C253" s="1" t="n">
        <v>50</v>
      </c>
    </row>
    <row r="254" customFormat="false" ht="13.8" hidden="false" customHeight="true" outlineLevel="0" collapsed="false">
      <c r="A254" s="1" t="s">
        <v>101</v>
      </c>
      <c r="B254" s="2" t="s">
        <v>55</v>
      </c>
      <c r="C254" s="1" t="n">
        <v>60</v>
      </c>
    </row>
    <row r="255" customFormat="false" ht="13.8" hidden="false" customHeight="true" outlineLevel="0" collapsed="false">
      <c r="A255" s="1" t="s">
        <v>101</v>
      </c>
      <c r="B255" s="1" t="s">
        <v>56</v>
      </c>
      <c r="C255" s="1" t="n">
        <v>10</v>
      </c>
    </row>
    <row r="256" customFormat="false" ht="13.8" hidden="false" customHeight="true" outlineLevel="0" collapsed="false">
      <c r="A256" s="2" t="s">
        <v>102</v>
      </c>
      <c r="B256" s="2" t="s">
        <v>59</v>
      </c>
      <c r="C256" s="1" t="n">
        <v>22</v>
      </c>
    </row>
    <row r="257" customFormat="false" ht="13.8" hidden="false" customHeight="true" outlineLevel="0" collapsed="false">
      <c r="A257" s="2" t="s">
        <v>102</v>
      </c>
      <c r="B257" s="2" t="s">
        <v>81</v>
      </c>
      <c r="C257" s="1" t="n">
        <v>67</v>
      </c>
    </row>
    <row r="258" customFormat="false" ht="13.8" hidden="false" customHeight="true" outlineLevel="0" collapsed="false">
      <c r="A258" s="2" t="s">
        <v>102</v>
      </c>
      <c r="B258" s="2" t="s">
        <v>103</v>
      </c>
      <c r="C258" s="1" t="n">
        <v>9</v>
      </c>
    </row>
    <row r="259" customFormat="false" ht="13.8" hidden="false" customHeight="true" outlineLevel="0" collapsed="false">
      <c r="A259" s="2" t="s">
        <v>102</v>
      </c>
      <c r="B259" s="2" t="s">
        <v>11</v>
      </c>
      <c r="C259" s="1" t="n">
        <v>12</v>
      </c>
    </row>
    <row r="260" customFormat="false" ht="13.8" hidden="false" customHeight="true" outlineLevel="0" collapsed="false">
      <c r="A260" s="2" t="s">
        <v>102</v>
      </c>
      <c r="B260" s="2" t="s">
        <v>104</v>
      </c>
      <c r="C260" s="1" t="n">
        <v>69</v>
      </c>
    </row>
    <row r="261" customFormat="false" ht="13.8" hidden="false" customHeight="true" outlineLevel="0" collapsed="false">
      <c r="A261" s="2" t="s">
        <v>102</v>
      </c>
      <c r="B261" s="2" t="s">
        <v>105</v>
      </c>
      <c r="C261" s="1" t="n">
        <v>56</v>
      </c>
    </row>
    <row r="262" customFormat="false" ht="13.8" hidden="false" customHeight="true" outlineLevel="0" collapsed="false">
      <c r="A262" s="2" t="s">
        <v>102</v>
      </c>
      <c r="B262" s="2" t="s">
        <v>5</v>
      </c>
      <c r="C262" s="1" t="n">
        <v>67</v>
      </c>
    </row>
    <row r="263" customFormat="false" ht="13.8" hidden="false" customHeight="true" outlineLevel="0" collapsed="false">
      <c r="A263" s="2" t="s">
        <v>102</v>
      </c>
      <c r="B263" s="2" t="s">
        <v>12</v>
      </c>
      <c r="C263" s="1" t="n">
        <v>3</v>
      </c>
    </row>
    <row r="264" customFormat="false" ht="13.8" hidden="false" customHeight="true" outlineLevel="0" collapsed="false">
      <c r="A264" s="2" t="s">
        <v>102</v>
      </c>
      <c r="B264" s="2" t="s">
        <v>33</v>
      </c>
      <c r="C264" s="1" t="n">
        <v>5</v>
      </c>
    </row>
    <row r="265" customFormat="false" ht="13.8" hidden="false" customHeight="true" outlineLevel="0" collapsed="false">
      <c r="A265" s="2" t="s">
        <v>102</v>
      </c>
      <c r="B265" s="2" t="s">
        <v>106</v>
      </c>
      <c r="C265" s="1" t="n">
        <v>45</v>
      </c>
    </row>
    <row r="266" customFormat="false" ht="13.8" hidden="false" customHeight="true" outlineLevel="0" collapsed="false">
      <c r="A266" s="2" t="s">
        <v>102</v>
      </c>
      <c r="B266" s="2" t="s">
        <v>28</v>
      </c>
      <c r="C266" s="1" t="n">
        <v>12</v>
      </c>
    </row>
    <row r="267" customFormat="false" ht="13.8" hidden="false" customHeight="true" outlineLevel="0" collapsed="false">
      <c r="A267" s="2" t="s">
        <v>102</v>
      </c>
      <c r="B267" s="2" t="s">
        <v>48</v>
      </c>
      <c r="C267" s="1" t="n">
        <v>1</v>
      </c>
    </row>
    <row r="268" customFormat="false" ht="13.8" hidden="false" customHeight="true" outlineLevel="0" collapsed="false">
      <c r="A268" s="2" t="s">
        <v>102</v>
      </c>
      <c r="B268" s="1" t="s">
        <v>13</v>
      </c>
      <c r="C268" s="1" t="n">
        <v>19</v>
      </c>
    </row>
    <row r="269" customFormat="false" ht="13.8" hidden="false" customHeight="false" outlineLevel="0" collapsed="false">
      <c r="A269" s="2" t="s">
        <v>102</v>
      </c>
      <c r="B269" s="2" t="s">
        <v>89</v>
      </c>
      <c r="C269" s="1" t="n">
        <v>1</v>
      </c>
    </row>
    <row r="270" customFormat="false" ht="13.8" hidden="false" customHeight="false" outlineLevel="0" collapsed="false">
      <c r="A270" s="2" t="s">
        <v>102</v>
      </c>
      <c r="B270" s="2" t="s">
        <v>107</v>
      </c>
      <c r="C270" s="1" t="n">
        <v>10</v>
      </c>
    </row>
    <row r="271" customFormat="false" ht="13.8" hidden="false" customHeight="false" outlineLevel="0" collapsed="false">
      <c r="A271" s="2" t="s">
        <v>102</v>
      </c>
      <c r="B271" s="1" t="s">
        <v>15</v>
      </c>
      <c r="C271" s="1" t="n">
        <v>21</v>
      </c>
    </row>
    <row r="272" customFormat="false" ht="13.8" hidden="false" customHeight="false" outlineLevel="0" collapsed="false">
      <c r="A272" s="2" t="s">
        <v>102</v>
      </c>
      <c r="B272" s="1" t="s">
        <v>16</v>
      </c>
      <c r="C272" s="1" t="n">
        <v>11</v>
      </c>
    </row>
    <row r="273" customFormat="false" ht="13.8" hidden="false" customHeight="false" outlineLevel="0" collapsed="false">
      <c r="A273" s="2" t="s">
        <v>102</v>
      </c>
      <c r="B273" s="2" t="s">
        <v>108</v>
      </c>
      <c r="C273" s="1" t="n">
        <v>2</v>
      </c>
    </row>
    <row r="274" customFormat="false" ht="13.8" hidden="false" customHeight="false" outlineLevel="0" collapsed="false">
      <c r="A274" s="2" t="s">
        <v>102</v>
      </c>
      <c r="B274" s="2" t="s">
        <v>36</v>
      </c>
      <c r="C274" s="1" t="n">
        <v>27</v>
      </c>
    </row>
    <row r="275" customFormat="false" ht="13.8" hidden="false" customHeight="false" outlineLevel="0" collapsed="false">
      <c r="A275" s="2" t="s">
        <v>102</v>
      </c>
      <c r="B275" s="2" t="s">
        <v>22</v>
      </c>
      <c r="C275" s="1" t="n">
        <v>3</v>
      </c>
    </row>
    <row r="276" customFormat="false" ht="13.8" hidden="false" customHeight="false" outlineLevel="0" collapsed="false">
      <c r="A276" s="2" t="s">
        <v>102</v>
      </c>
      <c r="B276" s="2" t="s">
        <v>23</v>
      </c>
      <c r="C276" s="1" t="n">
        <v>10</v>
      </c>
    </row>
    <row r="277" customFormat="false" ht="13.8" hidden="false" customHeight="false" outlineLevel="0" collapsed="false">
      <c r="A277" s="2" t="s">
        <v>102</v>
      </c>
      <c r="B277" s="2" t="s">
        <v>24</v>
      </c>
      <c r="C277" s="1" t="n">
        <v>3</v>
      </c>
    </row>
    <row r="278" customFormat="false" ht="13.8" hidden="false" customHeight="false" outlineLevel="0" collapsed="false">
      <c r="A278" s="2" t="s">
        <v>102</v>
      </c>
      <c r="B278" s="2" t="s">
        <v>63</v>
      </c>
      <c r="C278" s="1" t="n">
        <v>2</v>
      </c>
    </row>
    <row r="279" customFormat="false" ht="13.8" hidden="false" customHeight="false" outlineLevel="0" collapsed="false">
      <c r="A279" s="2" t="s">
        <v>109</v>
      </c>
      <c r="B279" s="2" t="s">
        <v>104</v>
      </c>
      <c r="C279" s="1" t="n">
        <v>10</v>
      </c>
    </row>
    <row r="280" customFormat="false" ht="13.8" hidden="false" customHeight="false" outlineLevel="0" collapsed="false">
      <c r="A280" s="2" t="s">
        <v>109</v>
      </c>
      <c r="B280" s="2" t="s">
        <v>5</v>
      </c>
      <c r="C280" s="1" t="n">
        <v>2.5</v>
      </c>
    </row>
    <row r="281" customFormat="false" ht="13.8" hidden="false" customHeight="false" outlineLevel="0" collapsed="false">
      <c r="A281" s="2" t="s">
        <v>109</v>
      </c>
      <c r="B281" s="2" t="s">
        <v>12</v>
      </c>
      <c r="C281" s="1" t="n">
        <v>42.5</v>
      </c>
    </row>
    <row r="282" customFormat="false" ht="13.8" hidden="false" customHeight="false" outlineLevel="0" collapsed="false">
      <c r="A282" s="2" t="s">
        <v>109</v>
      </c>
      <c r="B282" s="2" t="s">
        <v>48</v>
      </c>
      <c r="C282" s="1" t="n">
        <v>5</v>
      </c>
    </row>
    <row r="283" customFormat="false" ht="13.8" hidden="false" customHeight="false" outlineLevel="0" collapsed="false">
      <c r="A283" s="2" t="s">
        <v>109</v>
      </c>
      <c r="B283" s="1" t="s">
        <v>13</v>
      </c>
      <c r="C283" s="1" t="n">
        <v>92.5</v>
      </c>
    </row>
    <row r="284" customFormat="false" ht="13.8" hidden="false" customHeight="false" outlineLevel="0" collapsed="false">
      <c r="A284" s="2" t="s">
        <v>109</v>
      </c>
      <c r="B284" s="2" t="s">
        <v>89</v>
      </c>
      <c r="C284" s="1" t="n">
        <v>15</v>
      </c>
    </row>
    <row r="285" customFormat="false" ht="13.8" hidden="false" customHeight="false" outlineLevel="0" collapsed="false">
      <c r="A285" s="2" t="s">
        <v>109</v>
      </c>
      <c r="B285" s="2" t="s">
        <v>35</v>
      </c>
      <c r="C285" s="1" t="n">
        <v>75</v>
      </c>
    </row>
    <row r="286" customFormat="false" ht="13.8" hidden="false" customHeight="false" outlineLevel="0" collapsed="false">
      <c r="A286" s="2" t="s">
        <v>109</v>
      </c>
      <c r="B286" s="2" t="s">
        <v>107</v>
      </c>
      <c r="C286" s="1" t="n">
        <v>37.5</v>
      </c>
    </row>
    <row r="287" customFormat="false" ht="13.8" hidden="false" customHeight="false" outlineLevel="0" collapsed="false">
      <c r="A287" s="2" t="s">
        <v>109</v>
      </c>
      <c r="B287" s="1" t="s">
        <v>15</v>
      </c>
      <c r="C287" s="1" t="n">
        <v>7.5</v>
      </c>
    </row>
    <row r="288" customFormat="false" ht="13.8" hidden="false" customHeight="false" outlineLevel="0" collapsed="false">
      <c r="A288" s="2" t="s">
        <v>109</v>
      </c>
      <c r="B288" s="1" t="s">
        <v>16</v>
      </c>
      <c r="C288" s="1" t="n">
        <v>5</v>
      </c>
    </row>
    <row r="289" customFormat="false" ht="13.8" hidden="false" customHeight="false" outlineLevel="0" collapsed="false">
      <c r="A289" s="2" t="s">
        <v>109</v>
      </c>
      <c r="B289" s="2" t="s">
        <v>108</v>
      </c>
      <c r="C289" s="1" t="n">
        <v>60</v>
      </c>
    </row>
    <row r="290" customFormat="false" ht="13.8" hidden="false" customHeight="false" outlineLevel="0" collapsed="false">
      <c r="A290" s="2" t="s">
        <v>109</v>
      </c>
      <c r="B290" s="2" t="s">
        <v>36</v>
      </c>
      <c r="C290" s="1" t="n">
        <v>97.5</v>
      </c>
    </row>
    <row r="291" customFormat="false" ht="13.8" hidden="false" customHeight="false" outlineLevel="0" collapsed="false">
      <c r="A291" s="2" t="s">
        <v>109</v>
      </c>
      <c r="B291" s="2" t="s">
        <v>23</v>
      </c>
      <c r="C291" s="1" t="n">
        <v>12.5</v>
      </c>
    </row>
    <row r="292" customFormat="false" ht="13.8" hidden="false" customHeight="false" outlineLevel="0" collapsed="false">
      <c r="A292" s="2" t="s">
        <v>109</v>
      </c>
      <c r="B292" s="2" t="s">
        <v>24</v>
      </c>
      <c r="C292" s="1" t="n">
        <v>12.5</v>
      </c>
    </row>
    <row r="293" customFormat="false" ht="13.8" hidden="false" customHeight="false" outlineLevel="0" collapsed="false">
      <c r="A293" s="2" t="s">
        <v>109</v>
      </c>
      <c r="B293" s="1" t="s">
        <v>43</v>
      </c>
      <c r="C293" s="1" t="n">
        <v>5</v>
      </c>
    </row>
    <row r="294" customFormat="false" ht="13.8" hidden="false" customHeight="false" outlineLevel="0" collapsed="false">
      <c r="A294" s="2" t="s">
        <v>110</v>
      </c>
      <c r="B294" s="2" t="s">
        <v>12</v>
      </c>
      <c r="C294" s="1" t="n">
        <v>5</v>
      </c>
    </row>
    <row r="295" customFormat="false" ht="13.8" hidden="false" customHeight="false" outlineLevel="0" collapsed="false">
      <c r="A295" s="2" t="s">
        <v>110</v>
      </c>
      <c r="B295" s="1" t="s">
        <v>13</v>
      </c>
      <c r="C295" s="1" t="n">
        <v>87.5</v>
      </c>
    </row>
    <row r="296" customFormat="false" ht="13.8" hidden="false" customHeight="false" outlineLevel="0" collapsed="false">
      <c r="A296" s="2" t="s">
        <v>110</v>
      </c>
      <c r="B296" s="2" t="s">
        <v>89</v>
      </c>
      <c r="C296" s="1" t="n">
        <v>35</v>
      </c>
    </row>
    <row r="297" customFormat="false" ht="13.8" hidden="false" customHeight="false" outlineLevel="0" collapsed="false">
      <c r="A297" s="2" t="s">
        <v>110</v>
      </c>
      <c r="B297" s="2" t="s">
        <v>34</v>
      </c>
      <c r="C297" s="1" t="n">
        <v>5</v>
      </c>
    </row>
    <row r="298" customFormat="false" ht="13.8" hidden="false" customHeight="false" outlineLevel="0" collapsed="false">
      <c r="A298" s="2" t="s">
        <v>110</v>
      </c>
      <c r="B298" s="2" t="s">
        <v>35</v>
      </c>
      <c r="C298" s="1" t="n">
        <v>92.5</v>
      </c>
    </row>
    <row r="299" customFormat="false" ht="13.8" hidden="false" customHeight="false" outlineLevel="0" collapsed="false">
      <c r="A299" s="2" t="s">
        <v>110</v>
      </c>
      <c r="B299" s="2" t="s">
        <v>107</v>
      </c>
      <c r="C299" s="1" t="n">
        <v>15</v>
      </c>
    </row>
    <row r="300" customFormat="false" ht="13.8" hidden="false" customHeight="false" outlineLevel="0" collapsed="false">
      <c r="A300" s="2" t="s">
        <v>110</v>
      </c>
      <c r="B300" s="1" t="s">
        <v>15</v>
      </c>
      <c r="C300" s="1" t="n">
        <v>47.5</v>
      </c>
    </row>
    <row r="301" customFormat="false" ht="13.8" hidden="false" customHeight="false" outlineLevel="0" collapsed="false">
      <c r="A301" s="2" t="s">
        <v>110</v>
      </c>
      <c r="B301" s="2" t="s">
        <v>108</v>
      </c>
      <c r="C301" s="1" t="n">
        <v>2.5</v>
      </c>
    </row>
    <row r="302" customFormat="false" ht="13.8" hidden="false" customHeight="false" outlineLevel="0" collapsed="false">
      <c r="A302" s="2" t="s">
        <v>110</v>
      </c>
      <c r="B302" s="2" t="s">
        <v>36</v>
      </c>
      <c r="C302" s="1" t="n">
        <v>97.5</v>
      </c>
    </row>
    <row r="303" customFormat="false" ht="13.8" hidden="false" customHeight="false" outlineLevel="0" collapsed="false">
      <c r="A303" s="2" t="s">
        <v>110</v>
      </c>
      <c r="B303" s="2" t="s">
        <v>38</v>
      </c>
      <c r="C303" s="1" t="n">
        <v>17.5</v>
      </c>
    </row>
    <row r="304" customFormat="false" ht="13.8" hidden="false" customHeight="false" outlineLevel="0" collapsed="false">
      <c r="A304" s="2" t="s">
        <v>110</v>
      </c>
      <c r="B304" s="2" t="s">
        <v>23</v>
      </c>
      <c r="C304" s="1" t="n">
        <v>57.5</v>
      </c>
    </row>
    <row r="305" customFormat="false" ht="13.8" hidden="false" customHeight="false" outlineLevel="0" collapsed="false">
      <c r="A305" s="2" t="s">
        <v>110</v>
      </c>
      <c r="B305" s="1" t="s">
        <v>43</v>
      </c>
      <c r="C305" s="1" t="n">
        <v>5</v>
      </c>
    </row>
    <row r="306" customFormat="false" ht="13.8" hidden="false" customHeight="false" outlineLevel="0" collapsed="false">
      <c r="A306" s="2" t="s">
        <v>111</v>
      </c>
      <c r="B306" s="1" t="s">
        <v>13</v>
      </c>
      <c r="C306" s="1" t="n">
        <v>33.33</v>
      </c>
    </row>
    <row r="307" customFormat="false" ht="13.8" hidden="false" customHeight="false" outlineLevel="0" collapsed="false">
      <c r="A307" s="2" t="s">
        <v>111</v>
      </c>
      <c r="B307" s="2" t="s">
        <v>34</v>
      </c>
      <c r="C307" s="1" t="n">
        <v>6.67</v>
      </c>
    </row>
    <row r="308" customFormat="false" ht="13.8" hidden="false" customHeight="false" outlineLevel="0" collapsed="false">
      <c r="A308" s="2" t="s">
        <v>111</v>
      </c>
      <c r="B308" s="2" t="s">
        <v>35</v>
      </c>
      <c r="C308" s="1" t="n">
        <v>30</v>
      </c>
    </row>
    <row r="309" customFormat="false" ht="13.8" hidden="false" customHeight="false" outlineLevel="0" collapsed="false">
      <c r="A309" s="2" t="s">
        <v>111</v>
      </c>
      <c r="B309" s="2" t="s">
        <v>21</v>
      </c>
      <c r="C309" s="1" t="n">
        <v>6.67</v>
      </c>
    </row>
    <row r="310" customFormat="false" ht="13.8" hidden="false" customHeight="false" outlineLevel="0" collapsed="false">
      <c r="A310" s="2" t="s">
        <v>111</v>
      </c>
      <c r="B310" s="2" t="s">
        <v>14</v>
      </c>
      <c r="C310" s="1" t="n">
        <v>6.67</v>
      </c>
    </row>
    <row r="311" customFormat="false" ht="13.8" hidden="false" customHeight="false" outlineLevel="0" collapsed="false">
      <c r="A311" s="2" t="s">
        <v>111</v>
      </c>
      <c r="B311" s="1" t="s">
        <v>15</v>
      </c>
      <c r="C311" s="1" t="n">
        <v>3.33</v>
      </c>
    </row>
    <row r="312" customFormat="false" ht="13.8" hidden="false" customHeight="false" outlineLevel="0" collapsed="false">
      <c r="A312" s="2" t="s">
        <v>111</v>
      </c>
      <c r="B312" s="2" t="s">
        <v>108</v>
      </c>
      <c r="C312" s="1" t="n">
        <v>13.33</v>
      </c>
    </row>
    <row r="313" customFormat="false" ht="13.8" hidden="false" customHeight="false" outlineLevel="0" collapsed="false">
      <c r="A313" s="2" t="s">
        <v>111</v>
      </c>
      <c r="B313" s="2" t="s">
        <v>29</v>
      </c>
      <c r="C313" s="1" t="n">
        <v>10</v>
      </c>
    </row>
    <row r="314" customFormat="false" ht="13.8" hidden="false" customHeight="false" outlineLevel="0" collapsed="false">
      <c r="A314" s="2" t="s">
        <v>111</v>
      </c>
      <c r="B314" s="2" t="s">
        <v>18</v>
      </c>
      <c r="C314" s="1" t="n">
        <v>86.67</v>
      </c>
    </row>
    <row r="315" customFormat="false" ht="13.8" hidden="false" customHeight="false" outlineLevel="0" collapsed="false">
      <c r="A315" s="2" t="s">
        <v>111</v>
      </c>
      <c r="B315" s="2" t="s">
        <v>112</v>
      </c>
      <c r="C315" s="1" t="n">
        <v>76.67</v>
      </c>
    </row>
    <row r="316" customFormat="false" ht="13.8" hidden="false" customHeight="false" outlineLevel="0" collapsed="false">
      <c r="A316" s="2" t="s">
        <v>111</v>
      </c>
      <c r="B316" s="2" t="s">
        <v>23</v>
      </c>
      <c r="C316" s="1" t="n">
        <v>3.33</v>
      </c>
    </row>
    <row r="317" customFormat="false" ht="13.8" hidden="false" customHeight="false" outlineLevel="0" collapsed="false">
      <c r="A317" s="2" t="s">
        <v>113</v>
      </c>
      <c r="B317" s="2" t="s">
        <v>5</v>
      </c>
      <c r="C317" s="1" t="n">
        <v>65</v>
      </c>
    </row>
    <row r="318" customFormat="false" ht="13.8" hidden="false" customHeight="false" outlineLevel="0" collapsed="false">
      <c r="A318" s="2" t="s">
        <v>113</v>
      </c>
      <c r="B318" s="2" t="s">
        <v>29</v>
      </c>
      <c r="C318" s="1" t="n">
        <v>70</v>
      </c>
    </row>
    <row r="319" customFormat="false" ht="13.8" hidden="false" customHeight="false" outlineLevel="0" collapsed="false">
      <c r="A319" s="2" t="s">
        <v>113</v>
      </c>
      <c r="B319" s="2" t="s">
        <v>38</v>
      </c>
      <c r="C319" s="1" t="n">
        <v>20</v>
      </c>
    </row>
    <row r="320" customFormat="false" ht="13.8" hidden="false" customHeight="false" outlineLevel="0" collapsed="false">
      <c r="A320" s="2" t="s">
        <v>113</v>
      </c>
      <c r="B320" s="2" t="s">
        <v>112</v>
      </c>
      <c r="C320" s="1" t="n">
        <v>10</v>
      </c>
    </row>
    <row r="321" customFormat="false" ht="13.8" hidden="false" customHeight="false" outlineLevel="0" collapsed="false">
      <c r="A321" s="2" t="s">
        <v>113</v>
      </c>
      <c r="B321" s="2" t="s">
        <v>24</v>
      </c>
      <c r="C321" s="1" t="n">
        <v>15</v>
      </c>
    </row>
    <row r="322" customFormat="false" ht="13.8" hidden="false" customHeight="false" outlineLevel="0" collapsed="false">
      <c r="A322" s="2" t="s">
        <v>113</v>
      </c>
      <c r="B322" s="2" t="s">
        <v>56</v>
      </c>
      <c r="C322" s="1" t="n">
        <v>5</v>
      </c>
    </row>
    <row r="323" customFormat="false" ht="13.8" hidden="false" customHeight="false" outlineLevel="0" collapsed="false">
      <c r="A323" s="2" t="s">
        <v>114</v>
      </c>
      <c r="B323" s="2" t="s">
        <v>38</v>
      </c>
      <c r="C323" s="1" t="n">
        <v>10</v>
      </c>
    </row>
    <row r="324" customFormat="false" ht="13.8" hidden="false" customHeight="false" outlineLevel="0" collapsed="false">
      <c r="A324" s="2" t="s">
        <v>114</v>
      </c>
      <c r="B324" s="2" t="s">
        <v>115</v>
      </c>
      <c r="C324" s="1" t="n">
        <v>30</v>
      </c>
    </row>
    <row r="325" customFormat="false" ht="13.8" hidden="false" customHeight="false" outlineLevel="0" collapsed="false">
      <c r="A325" s="2" t="s">
        <v>114</v>
      </c>
      <c r="B325" s="2" t="s">
        <v>116</v>
      </c>
      <c r="C325" s="1" t="n">
        <v>10</v>
      </c>
    </row>
    <row r="326" customFormat="false" ht="13.8" hidden="false" customHeight="false" outlineLevel="0" collapsed="false">
      <c r="A326" s="2" t="s">
        <v>114</v>
      </c>
      <c r="B326" s="1" t="s">
        <v>43</v>
      </c>
      <c r="C326" s="1" t="n">
        <v>75</v>
      </c>
    </row>
    <row r="327" customFormat="false" ht="13.8" hidden="false" customHeight="false" outlineLevel="0" collapsed="false">
      <c r="A327" s="2" t="s">
        <v>114</v>
      </c>
      <c r="B327" s="2" t="s">
        <v>56</v>
      </c>
      <c r="C327" s="1" t="n">
        <v>86.6666666666667</v>
      </c>
    </row>
    <row r="328" customFormat="false" ht="13.8" hidden="false" customHeight="false" outlineLevel="0" collapsed="false">
      <c r="A328" s="2" t="s">
        <v>114</v>
      </c>
      <c r="B328" s="2" t="s">
        <v>57</v>
      </c>
      <c r="C328" s="1" t="n">
        <v>25</v>
      </c>
    </row>
    <row r="329" customFormat="false" ht="13.8" hidden="false" customHeight="false" outlineLevel="0" collapsed="false">
      <c r="A329" s="2" t="s">
        <v>117</v>
      </c>
      <c r="B329" s="2" t="s">
        <v>105</v>
      </c>
      <c r="C329" s="1" t="n">
        <v>3.125</v>
      </c>
    </row>
    <row r="330" customFormat="false" ht="13.8" hidden="false" customHeight="false" outlineLevel="0" collapsed="false">
      <c r="A330" s="2" t="s">
        <v>117</v>
      </c>
      <c r="B330" s="2" t="s">
        <v>5</v>
      </c>
      <c r="C330" s="1" t="n">
        <v>15.625</v>
      </c>
    </row>
    <row r="331" customFormat="false" ht="13.8" hidden="false" customHeight="false" outlineLevel="0" collapsed="false">
      <c r="A331" s="2" t="s">
        <v>117</v>
      </c>
      <c r="B331" s="2" t="s">
        <v>118</v>
      </c>
      <c r="C331" s="1" t="n">
        <v>6.25</v>
      </c>
    </row>
    <row r="332" customFormat="false" ht="13.8" hidden="false" customHeight="false" outlineLevel="0" collapsed="false">
      <c r="A332" s="2" t="s">
        <v>117</v>
      </c>
      <c r="B332" s="2" t="s">
        <v>119</v>
      </c>
      <c r="C332" s="1" t="n">
        <v>6.25</v>
      </c>
    </row>
    <row r="333" customFormat="false" ht="13.8" hidden="false" customHeight="false" outlineLevel="0" collapsed="false">
      <c r="A333" s="2" t="s">
        <v>117</v>
      </c>
      <c r="B333" s="2" t="s">
        <v>34</v>
      </c>
      <c r="C333" s="1" t="n">
        <v>3.125</v>
      </c>
    </row>
    <row r="334" customFormat="false" ht="13.8" hidden="false" customHeight="false" outlineLevel="0" collapsed="false">
      <c r="A334" s="2" t="s">
        <v>117</v>
      </c>
      <c r="B334" s="2" t="s">
        <v>35</v>
      </c>
      <c r="C334" s="1" t="n">
        <v>25</v>
      </c>
    </row>
    <row r="335" customFormat="false" ht="13.8" hidden="false" customHeight="false" outlineLevel="0" collapsed="false">
      <c r="A335" s="2" t="s">
        <v>117</v>
      </c>
      <c r="B335" s="2" t="s">
        <v>21</v>
      </c>
      <c r="C335" s="1" t="n">
        <v>3.125</v>
      </c>
    </row>
    <row r="336" customFormat="false" ht="13.8" hidden="false" customHeight="false" outlineLevel="0" collapsed="false">
      <c r="A336" s="2" t="s">
        <v>117</v>
      </c>
      <c r="B336" s="2" t="s">
        <v>120</v>
      </c>
      <c r="C336" s="1" t="n">
        <v>3.125</v>
      </c>
    </row>
    <row r="337" customFormat="false" ht="13.8" hidden="false" customHeight="false" outlineLevel="0" collapsed="false">
      <c r="A337" s="2" t="s">
        <v>117</v>
      </c>
      <c r="B337" s="2" t="s">
        <v>36</v>
      </c>
      <c r="C337" s="1" t="n">
        <v>18.75</v>
      </c>
    </row>
    <row r="338" customFormat="false" ht="13.8" hidden="false" customHeight="false" outlineLevel="0" collapsed="false">
      <c r="A338" s="2" t="s">
        <v>117</v>
      </c>
      <c r="B338" s="2" t="s">
        <v>30</v>
      </c>
      <c r="C338" s="1" t="n">
        <v>15.625</v>
      </c>
    </row>
    <row r="339" customFormat="false" ht="13.8" hidden="false" customHeight="false" outlineLevel="0" collapsed="false">
      <c r="A339" s="2" t="s">
        <v>117</v>
      </c>
      <c r="B339" s="2" t="s">
        <v>38</v>
      </c>
      <c r="C339" s="1" t="n">
        <v>34.375</v>
      </c>
    </row>
    <row r="340" customFormat="false" ht="13.8" hidden="false" customHeight="false" outlineLevel="0" collapsed="false">
      <c r="A340" s="2" t="s">
        <v>117</v>
      </c>
      <c r="B340" s="2" t="s">
        <v>121</v>
      </c>
      <c r="C340" s="1" t="n">
        <v>6.25</v>
      </c>
    </row>
    <row r="341" customFormat="false" ht="13.8" hidden="false" customHeight="false" outlineLevel="0" collapsed="false">
      <c r="A341" s="2" t="s">
        <v>117</v>
      </c>
      <c r="B341" s="2" t="s">
        <v>24</v>
      </c>
      <c r="C341" s="1" t="n">
        <v>6.25</v>
      </c>
    </row>
    <row r="342" customFormat="false" ht="13.8" hidden="false" customHeight="false" outlineLevel="0" collapsed="false">
      <c r="A342" s="2" t="s">
        <v>122</v>
      </c>
      <c r="B342" s="2" t="s">
        <v>123</v>
      </c>
      <c r="C342" s="1" t="n">
        <v>6</v>
      </c>
    </row>
    <row r="343" customFormat="false" ht="13.8" hidden="false" customHeight="false" outlineLevel="0" collapsed="false">
      <c r="A343" s="2" t="s">
        <v>122</v>
      </c>
      <c r="B343" s="2" t="s">
        <v>5</v>
      </c>
      <c r="C343" s="1" t="n">
        <v>17</v>
      </c>
    </row>
    <row r="344" customFormat="false" ht="13.8" hidden="false" customHeight="false" outlineLevel="0" collapsed="false">
      <c r="A344" s="2" t="s">
        <v>122</v>
      </c>
      <c r="B344" s="2" t="s">
        <v>124</v>
      </c>
      <c r="C344" s="1" t="n">
        <v>2</v>
      </c>
    </row>
    <row r="345" customFormat="false" ht="13.8" hidden="false" customHeight="false" outlineLevel="0" collapsed="false">
      <c r="A345" s="2" t="s">
        <v>122</v>
      </c>
      <c r="B345" s="2" t="s">
        <v>73</v>
      </c>
      <c r="C345" s="1" t="n">
        <v>3</v>
      </c>
    </row>
    <row r="346" customFormat="false" ht="13.8" hidden="false" customHeight="false" outlineLevel="0" collapsed="false">
      <c r="A346" s="2" t="s">
        <v>122</v>
      </c>
      <c r="B346" s="2" t="s">
        <v>29</v>
      </c>
      <c r="C346" s="1" t="n">
        <v>2</v>
      </c>
    </row>
    <row r="347" customFormat="false" ht="13.8" hidden="false" customHeight="false" outlineLevel="0" collapsed="false">
      <c r="A347" s="2" t="s">
        <v>122</v>
      </c>
      <c r="B347" s="2" t="s">
        <v>29</v>
      </c>
      <c r="C347" s="1" t="n">
        <v>3</v>
      </c>
    </row>
    <row r="348" customFormat="false" ht="13.8" hidden="false" customHeight="false" outlineLevel="0" collapsed="false">
      <c r="A348" s="2" t="s">
        <v>122</v>
      </c>
      <c r="B348" s="2" t="s">
        <v>36</v>
      </c>
      <c r="C348" s="1" t="n">
        <v>3</v>
      </c>
    </row>
    <row r="349" customFormat="false" ht="13.8" hidden="false" customHeight="false" outlineLevel="0" collapsed="false">
      <c r="A349" s="2" t="s">
        <v>122</v>
      </c>
      <c r="B349" s="2" t="s">
        <v>38</v>
      </c>
      <c r="C349" s="1" t="n">
        <v>48</v>
      </c>
    </row>
    <row r="350" customFormat="false" ht="13.8" hidden="false" customHeight="false" outlineLevel="0" collapsed="false">
      <c r="A350" s="2" t="s">
        <v>122</v>
      </c>
      <c r="B350" s="2" t="s">
        <v>125</v>
      </c>
      <c r="C350" s="1" t="n">
        <v>6</v>
      </c>
    </row>
    <row r="351" customFormat="false" ht="13.8" hidden="false" customHeight="false" outlineLevel="0" collapsed="false">
      <c r="A351" s="2" t="s">
        <v>122</v>
      </c>
      <c r="B351" s="2" t="s">
        <v>121</v>
      </c>
      <c r="C351" s="1" t="n">
        <v>2</v>
      </c>
    </row>
    <row r="352" customFormat="false" ht="13.8" hidden="false" customHeight="false" outlineLevel="0" collapsed="false">
      <c r="A352" s="2" t="s">
        <v>122</v>
      </c>
      <c r="B352" s="2" t="s">
        <v>56</v>
      </c>
      <c r="C352" s="1" t="n">
        <v>2</v>
      </c>
    </row>
    <row r="353" customFormat="false" ht="13.8" hidden="false" customHeight="false" outlineLevel="0" collapsed="false">
      <c r="A353" s="2" t="s">
        <v>122</v>
      </c>
      <c r="B353" s="2" t="s">
        <v>126</v>
      </c>
      <c r="C353" s="1" t="n">
        <v>2</v>
      </c>
    </row>
  </sheetData>
  <autoFilter ref="A1:C353"/>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6"/>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pane xSplit="1" ySplit="1" topLeftCell="C2" activePane="bottomRight" state="frozen"/>
      <selection pane="topLeft" activeCell="A1" activeCellId="0" sqref="A1"/>
      <selection pane="topRight" activeCell="C1" activeCellId="0" sqref="C1"/>
      <selection pane="bottomLeft" activeCell="A2" activeCellId="0" sqref="A2"/>
      <selection pane="bottomRight" activeCell="F40" activeCellId="0" sqref="F40"/>
    </sheetView>
  </sheetViews>
  <sheetFormatPr defaultColWidth="9.07421875" defaultRowHeight="13.8" zeroHeight="false" outlineLevelRow="0" outlineLevelCol="0"/>
  <cols>
    <col collapsed="false" customWidth="true" hidden="false" outlineLevel="0" max="1" min="1" style="1" width="13.71"/>
    <col collapsed="false" customWidth="true" hidden="false" outlineLevel="0" max="2" min="2" style="1" width="12.86"/>
    <col collapsed="false" customWidth="true" hidden="false" outlineLevel="0" max="3" min="3" style="1" width="20.14"/>
    <col collapsed="false" customWidth="true" hidden="false" outlineLevel="0" max="4" min="4" style="1" width="13.03"/>
    <col collapsed="false" customWidth="true" hidden="false" outlineLevel="0" max="5" min="5" style="1" width="13.9"/>
    <col collapsed="false" customWidth="true" hidden="false" outlineLevel="0" max="6" min="6" style="1" width="19.12"/>
    <col collapsed="false" customWidth="true" hidden="false" outlineLevel="0" max="7" min="7" style="1" width="12.11"/>
    <col collapsed="false" customWidth="true" hidden="false" outlineLevel="0" max="16381" min="16378" style="1" width="10.16"/>
    <col collapsed="false" customWidth="true" hidden="false" outlineLevel="0" max="16384" min="16382" style="1" width="11.53"/>
  </cols>
  <sheetData>
    <row r="1" customFormat="false" ht="13.8" hidden="false" customHeight="false" outlineLevel="0" collapsed="false">
      <c r="A1" s="2" t="s">
        <v>0</v>
      </c>
      <c r="B1" s="2" t="s">
        <v>127</v>
      </c>
      <c r="C1" s="2" t="s">
        <v>128</v>
      </c>
      <c r="D1" s="2" t="s">
        <v>129</v>
      </c>
      <c r="E1" s="2" t="s">
        <v>130</v>
      </c>
      <c r="F1" s="2" t="s">
        <v>131</v>
      </c>
      <c r="G1" s="2" t="s">
        <v>132</v>
      </c>
      <c r="H1" s="2" t="s">
        <v>133</v>
      </c>
      <c r="I1" s="2" t="s">
        <v>134</v>
      </c>
      <c r="J1" s="2" t="s">
        <v>135</v>
      </c>
      <c r="K1" s="2" t="s">
        <v>136</v>
      </c>
      <c r="L1" s="2" t="s">
        <v>137</v>
      </c>
      <c r="M1" s="2" t="s">
        <v>138</v>
      </c>
    </row>
    <row r="2" customFormat="false" ht="13.8" hidden="false" customHeight="false" outlineLevel="0" collapsed="false">
      <c r="A2" s="1" t="s">
        <v>44</v>
      </c>
      <c r="B2" s="1" t="n">
        <v>100</v>
      </c>
      <c r="C2" s="1" t="n">
        <v>500</v>
      </c>
      <c r="D2" s="4" t="n">
        <v>-32.0211652241</v>
      </c>
      <c r="E2" s="4" t="n">
        <v>-52.2499380215</v>
      </c>
      <c r="F2" s="1" t="s">
        <v>139</v>
      </c>
      <c r="G2" s="5" t="n">
        <v>17.6270542144775</v>
      </c>
      <c r="H2" s="5" t="n">
        <v>1245</v>
      </c>
      <c r="I2" s="5" t="n">
        <v>23.5939102172852</v>
      </c>
      <c r="J2" s="5" t="n">
        <v>260.230760649023</v>
      </c>
      <c r="K2" s="5" t="n">
        <v>257.89710362467</v>
      </c>
      <c r="L2" s="5" t="n">
        <v>509.707759021922</v>
      </c>
      <c r="M2" s="2" t="s">
        <v>140</v>
      </c>
      <c r="R2" s="5"/>
      <c r="S2" s="5"/>
      <c r="T2" s="5"/>
    </row>
    <row r="3" customFormat="false" ht="13.8" hidden="false" customHeight="false" outlineLevel="0" collapsed="false">
      <c r="A3" s="1" t="s">
        <v>52</v>
      </c>
      <c r="B3" s="1" t="n">
        <v>100</v>
      </c>
      <c r="C3" s="1" t="n">
        <v>1000</v>
      </c>
      <c r="D3" s="4" t="n">
        <v>-30.0879334107</v>
      </c>
      <c r="E3" s="4" t="n">
        <v>-50.2358912285</v>
      </c>
      <c r="F3" s="1" t="s">
        <v>139</v>
      </c>
      <c r="G3" s="5" t="n">
        <v>13.411283493042</v>
      </c>
      <c r="H3" s="5" t="n">
        <v>1511</v>
      </c>
      <c r="I3" s="5" t="n">
        <v>23.466667175293</v>
      </c>
      <c r="J3" s="5" t="n">
        <v>216.964109905188</v>
      </c>
      <c r="K3" s="5" t="n">
        <v>240.437321884586</v>
      </c>
      <c r="L3" s="5" t="n">
        <v>471.78071878686</v>
      </c>
      <c r="M3" s="2" t="s">
        <v>140</v>
      </c>
      <c r="R3" s="5"/>
      <c r="S3" s="5"/>
      <c r="T3" s="5"/>
    </row>
    <row r="4" customFormat="false" ht="13.8" hidden="false" customHeight="false" outlineLevel="0" collapsed="false">
      <c r="A4" s="1" t="s">
        <v>64</v>
      </c>
      <c r="B4" s="1" t="n">
        <v>100</v>
      </c>
      <c r="C4" s="1" t="n">
        <v>600</v>
      </c>
      <c r="D4" s="4" t="n">
        <v>-29.3933959113</v>
      </c>
      <c r="E4" s="4" t="n">
        <v>-49.8649993079</v>
      </c>
      <c r="F4" s="1" t="s">
        <v>139</v>
      </c>
      <c r="G4" s="5" t="n">
        <v>14.6293783187866</v>
      </c>
      <c r="H4" s="5" t="n">
        <v>1452</v>
      </c>
      <c r="I4" s="5" t="n">
        <v>23.25</v>
      </c>
      <c r="J4" s="5" t="n">
        <v>301.019899791651</v>
      </c>
      <c r="K4" s="5" t="n">
        <v>225.515702748556</v>
      </c>
      <c r="L4" s="5" t="n">
        <v>384.582286933436</v>
      </c>
      <c r="M4" s="2" t="s">
        <v>140</v>
      </c>
      <c r="R4" s="5"/>
      <c r="S4" s="5"/>
      <c r="T4" s="5"/>
    </row>
    <row r="5" customFormat="false" ht="13.8" hidden="false" customHeight="false" outlineLevel="0" collapsed="false">
      <c r="A5" s="1" t="s">
        <v>77</v>
      </c>
      <c r="B5" s="1" t="n">
        <v>4</v>
      </c>
      <c r="C5" s="1" t="n">
        <v>120</v>
      </c>
      <c r="D5" s="6" t="n">
        <v>-31.219874</v>
      </c>
      <c r="E5" s="6" t="n">
        <v>-50.96162</v>
      </c>
      <c r="F5" s="1" t="s">
        <v>139</v>
      </c>
      <c r="G5" s="5" t="n">
        <v>14.2106456756592</v>
      </c>
      <c r="H5" s="5" t="n">
        <v>1382</v>
      </c>
      <c r="I5" s="5" t="n">
        <v>23.4384994506836</v>
      </c>
      <c r="J5" s="5" t="n">
        <v>245.123898223673</v>
      </c>
      <c r="K5" s="5" t="n">
        <v>289.221564430488</v>
      </c>
      <c r="L5" s="5" t="n">
        <v>496.855679252233</v>
      </c>
      <c r="M5" s="2" t="s">
        <v>141</v>
      </c>
      <c r="R5" s="5"/>
      <c r="S5" s="5"/>
      <c r="T5" s="5"/>
    </row>
    <row r="6" customFormat="false" ht="13.8" hidden="false" customHeight="false" outlineLevel="0" collapsed="false">
      <c r="A6" s="1" t="s">
        <v>82</v>
      </c>
      <c r="B6" s="1" t="n">
        <v>100</v>
      </c>
      <c r="C6" s="1" t="n">
        <v>700</v>
      </c>
      <c r="D6" s="4" t="n">
        <v>-29.333648635</v>
      </c>
      <c r="E6" s="4" t="n">
        <v>-49.9237738399</v>
      </c>
      <c r="F6" s="1" t="s">
        <v>139</v>
      </c>
      <c r="G6" s="5" t="n">
        <v>13.8632793426514</v>
      </c>
      <c r="H6" s="5" t="n">
        <v>1546</v>
      </c>
      <c r="I6" s="5" t="n">
        <v>22.4890003204346</v>
      </c>
      <c r="J6" s="5" t="n">
        <v>317.772547058867</v>
      </c>
      <c r="K6" s="5" t="n">
        <v>252.218404898278</v>
      </c>
      <c r="L6" s="5" t="n">
        <v>429.510417291751</v>
      </c>
      <c r="M6" s="2" t="s">
        <v>140</v>
      </c>
      <c r="R6" s="5"/>
      <c r="S6" s="5"/>
      <c r="T6" s="5"/>
    </row>
    <row r="7" customFormat="false" ht="13.8" hidden="false" customHeight="false" outlineLevel="0" collapsed="false">
      <c r="A7" s="1" t="s">
        <v>96</v>
      </c>
      <c r="B7" s="1" t="n">
        <v>100</v>
      </c>
      <c r="C7" s="1" t="n">
        <v>600</v>
      </c>
      <c r="D7" s="4" t="n">
        <v>-29.5939741238</v>
      </c>
      <c r="E7" s="4" t="n">
        <v>-50.0168799876</v>
      </c>
      <c r="F7" s="1" t="s">
        <v>139</v>
      </c>
      <c r="G7" s="5" t="n">
        <v>12.8829164505005</v>
      </c>
      <c r="H7" s="5" t="n">
        <v>1477</v>
      </c>
      <c r="I7" s="5" t="n">
        <v>23.4431667327881</v>
      </c>
      <c r="J7" s="5" t="n">
        <v>216.615610914137</v>
      </c>
      <c r="K7" s="5" t="n">
        <v>257.434251774911</v>
      </c>
      <c r="L7" s="5" t="n">
        <v>495.06409019731</v>
      </c>
      <c r="M7" s="2" t="s">
        <v>140</v>
      </c>
      <c r="R7" s="5"/>
      <c r="S7" s="5"/>
      <c r="T7" s="5"/>
    </row>
    <row r="8" customFormat="false" ht="13.8" hidden="false" customHeight="false" outlineLevel="0" collapsed="false">
      <c r="A8" s="1" t="s">
        <v>97</v>
      </c>
      <c r="B8" s="1" t="n">
        <v>100</v>
      </c>
      <c r="C8" s="1" t="n">
        <v>700</v>
      </c>
      <c r="D8" s="4" t="n">
        <v>-29.6336924155</v>
      </c>
      <c r="E8" s="4" t="n">
        <v>-50.0718370859</v>
      </c>
      <c r="F8" s="1" t="s">
        <v>139</v>
      </c>
      <c r="G8" s="5" t="n">
        <v>12.8829164505005</v>
      </c>
      <c r="H8" s="5" t="n">
        <v>1477</v>
      </c>
      <c r="I8" s="5" t="n">
        <v>23.4431667327881</v>
      </c>
      <c r="J8" s="5" t="n">
        <v>204.396791975764</v>
      </c>
      <c r="K8" s="5" t="n">
        <v>230.767871714002</v>
      </c>
      <c r="L8" s="5" t="n">
        <v>432.498397647899</v>
      </c>
      <c r="M8" s="2" t="s">
        <v>140</v>
      </c>
      <c r="R8" s="5"/>
      <c r="S8" s="5"/>
      <c r="T8" s="5"/>
    </row>
    <row r="9" customFormat="false" ht="13.8" hidden="false" customHeight="false" outlineLevel="0" collapsed="false">
      <c r="A9" s="1" t="s">
        <v>98</v>
      </c>
      <c r="B9" s="1" t="n">
        <v>100</v>
      </c>
      <c r="C9" s="1" t="n">
        <v>800</v>
      </c>
      <c r="D9" s="4" t="n">
        <v>-32.5608768785</v>
      </c>
      <c r="E9" s="4" t="n">
        <v>-52.508538761</v>
      </c>
      <c r="F9" s="1" t="s">
        <v>139</v>
      </c>
      <c r="G9" s="5" t="n">
        <v>15.0375480651855</v>
      </c>
      <c r="H9" s="5" t="n">
        <v>1246</v>
      </c>
      <c r="I9" s="5" t="n">
        <v>23.1028327941895</v>
      </c>
      <c r="J9" s="5" t="n">
        <v>232.46394965547</v>
      </c>
      <c r="K9" s="5" t="n">
        <v>268.576118460314</v>
      </c>
      <c r="L9" s="5" t="n">
        <v>429.455787085939</v>
      </c>
      <c r="M9" s="2" t="s">
        <v>140</v>
      </c>
      <c r="R9" s="5"/>
      <c r="S9" s="5"/>
      <c r="T9" s="5"/>
    </row>
    <row r="10" customFormat="false" ht="13.8" hidden="false" customHeight="false" outlineLevel="0" collapsed="false">
      <c r="A10" s="1" t="s">
        <v>99</v>
      </c>
      <c r="B10" s="1" t="n">
        <v>100</v>
      </c>
      <c r="C10" s="1" t="n">
        <v>1500</v>
      </c>
      <c r="D10" s="4" t="n">
        <v>-31.220075078</v>
      </c>
      <c r="E10" s="4" t="n">
        <v>-50.9627934047</v>
      </c>
      <c r="F10" s="1" t="s">
        <v>139</v>
      </c>
      <c r="G10" s="5" t="n">
        <v>14.2106456756592</v>
      </c>
      <c r="H10" s="5" t="n">
        <v>1382</v>
      </c>
      <c r="I10" s="5" t="n">
        <v>23.4384994506836</v>
      </c>
      <c r="J10" s="5" t="n">
        <v>222.854936691218</v>
      </c>
      <c r="K10" s="5" t="n">
        <v>268.591498082956</v>
      </c>
      <c r="L10" s="5" t="n">
        <v>452.168201054556</v>
      </c>
      <c r="M10" s="2" t="s">
        <v>140</v>
      </c>
      <c r="R10" s="5"/>
      <c r="S10" s="5"/>
      <c r="T10" s="5"/>
    </row>
    <row r="11" customFormat="false" ht="13.8" hidden="false" customHeight="false" outlineLevel="0" collapsed="false">
      <c r="A11" s="1" t="s">
        <v>101</v>
      </c>
      <c r="B11" s="1" t="n">
        <v>100</v>
      </c>
      <c r="C11" s="1" t="n">
        <v>1000</v>
      </c>
      <c r="D11" s="4" t="n">
        <v>-29.3626789346</v>
      </c>
      <c r="E11" s="4" t="n">
        <v>-49.7624527855</v>
      </c>
      <c r="F11" s="1" t="s">
        <v>139</v>
      </c>
      <c r="G11" s="5" t="n">
        <v>15.1452836990356</v>
      </c>
      <c r="H11" s="5" t="n">
        <v>1425</v>
      </c>
      <c r="I11" s="5" t="n">
        <v>23.3848152160645</v>
      </c>
      <c r="J11" s="5" t="n">
        <v>276.189901388826</v>
      </c>
      <c r="K11" s="5" t="n">
        <v>223.215944716422</v>
      </c>
      <c r="L11" s="5" t="n">
        <v>405.23484611504</v>
      </c>
      <c r="M11" s="2" t="s">
        <v>140</v>
      </c>
      <c r="R11" s="5"/>
      <c r="S11" s="5"/>
      <c r="T11" s="5"/>
    </row>
    <row r="12" customFormat="false" ht="13.8" hidden="false" customHeight="false" outlineLevel="0" collapsed="false">
      <c r="A12" s="1" t="s">
        <v>114</v>
      </c>
      <c r="B12" s="1" t="n">
        <v>100</v>
      </c>
      <c r="C12" s="1" t="n">
        <v>1500</v>
      </c>
      <c r="D12" s="6" t="n">
        <v>-27.732482</v>
      </c>
      <c r="E12" s="6" t="n">
        <v>-48.514286</v>
      </c>
      <c r="F12" s="1" t="s">
        <v>139</v>
      </c>
      <c r="G12" s="5" t="n">
        <v>22.2696170806885</v>
      </c>
      <c r="H12" s="5" t="n">
        <v>1562</v>
      </c>
      <c r="I12" s="5" t="n">
        <v>23.6659812927246</v>
      </c>
      <c r="J12" s="5" t="n">
        <v>353.259593160438</v>
      </c>
      <c r="K12" s="5" t="n">
        <v>286.893287950443</v>
      </c>
      <c r="L12" s="5" t="n">
        <v>384.71762703696</v>
      </c>
      <c r="M12" s="2" t="s">
        <v>142</v>
      </c>
      <c r="R12" s="5"/>
      <c r="S12" s="5"/>
      <c r="T12" s="5"/>
    </row>
    <row r="13" customFormat="false" ht="13.8" hidden="false" customHeight="false" outlineLevel="0" collapsed="false">
      <c r="A13" s="1" t="s">
        <v>3</v>
      </c>
      <c r="B13" s="1" t="n">
        <v>4</v>
      </c>
      <c r="C13" s="1" t="n">
        <v>480</v>
      </c>
      <c r="D13" s="6" t="n">
        <v>-25.563548</v>
      </c>
      <c r="E13" s="6" t="n">
        <v>-48.309152</v>
      </c>
      <c r="F13" s="1" t="s">
        <v>143</v>
      </c>
      <c r="G13" s="5" t="n">
        <v>42.2550354003906</v>
      </c>
      <c r="H13" s="5" t="n">
        <v>2100</v>
      </c>
      <c r="I13" s="5" t="n">
        <v>24.8791656494141</v>
      </c>
      <c r="J13" s="5" t="n">
        <v>345.857419732031</v>
      </c>
      <c r="K13" s="5" t="n">
        <v>248.1153018596</v>
      </c>
      <c r="L13" s="5" t="n">
        <v>467.10175435262</v>
      </c>
      <c r="M13" s="2" t="s">
        <v>144</v>
      </c>
      <c r="R13" s="5"/>
      <c r="S13" s="5"/>
      <c r="T13" s="5"/>
    </row>
    <row r="14" customFormat="false" ht="13.8" hidden="false" customHeight="false" outlineLevel="0" collapsed="false">
      <c r="A14" s="1" t="s">
        <v>61</v>
      </c>
      <c r="B14" s="1" t="n">
        <v>100</v>
      </c>
      <c r="C14" s="1" t="n">
        <v>1900</v>
      </c>
      <c r="D14" s="4" t="n">
        <v>-29.3348144441</v>
      </c>
      <c r="E14" s="4" t="n">
        <v>-49.839226743</v>
      </c>
      <c r="F14" s="1" t="s">
        <v>143</v>
      </c>
      <c r="G14" s="5" t="n">
        <v>14.6293783187866</v>
      </c>
      <c r="H14" s="5" t="n">
        <v>1452</v>
      </c>
      <c r="I14" s="5" t="n">
        <v>23.25</v>
      </c>
      <c r="J14" s="5" t="n">
        <v>290.748509998381</v>
      </c>
      <c r="K14" s="5" t="n">
        <v>249.164851585261</v>
      </c>
      <c r="L14" s="5" t="n">
        <v>375.28298307416</v>
      </c>
      <c r="M14" s="2" t="s">
        <v>140</v>
      </c>
      <c r="R14" s="5"/>
      <c r="S14" s="5"/>
      <c r="T14" s="5"/>
    </row>
    <row r="15" customFormat="false" ht="13.8" hidden="false" customHeight="true" outlineLevel="0" collapsed="false">
      <c r="A15" s="1" t="s">
        <v>113</v>
      </c>
      <c r="B15" s="1" t="n">
        <v>100</v>
      </c>
      <c r="C15" s="1" t="n">
        <v>2000</v>
      </c>
      <c r="D15" s="6" t="n">
        <v>-27.728943</v>
      </c>
      <c r="E15" s="6" t="n">
        <v>-48.534574</v>
      </c>
      <c r="F15" s="1" t="s">
        <v>143</v>
      </c>
      <c r="G15" s="5" t="n">
        <v>22.2696170806885</v>
      </c>
      <c r="H15" s="5" t="n">
        <v>1562</v>
      </c>
      <c r="I15" s="5" t="n">
        <v>23.6659812927246</v>
      </c>
      <c r="J15" s="5" t="n">
        <v>398.046534128609</v>
      </c>
      <c r="K15" s="5" t="n">
        <v>220.664530314937</v>
      </c>
      <c r="L15" s="5" t="n">
        <v>354.204616655898</v>
      </c>
      <c r="M15" s="2" t="s">
        <v>142</v>
      </c>
      <c r="R15" s="5"/>
      <c r="S15" s="5"/>
      <c r="T15" s="5"/>
    </row>
    <row r="16" customFormat="false" ht="13.8" hidden="false" customHeight="true" outlineLevel="0" collapsed="false">
      <c r="A16" s="1" t="s">
        <v>122</v>
      </c>
      <c r="B16" s="1" t="n">
        <v>4</v>
      </c>
      <c r="C16" s="1" t="n">
        <v>1280</v>
      </c>
      <c r="D16" s="6" t="n">
        <v>-28.522346</v>
      </c>
      <c r="E16" s="6" t="n">
        <v>-49.331585</v>
      </c>
      <c r="F16" s="1" t="s">
        <v>143</v>
      </c>
      <c r="G16" s="5" t="n">
        <v>27.4958839416504</v>
      </c>
      <c r="H16" s="5" t="n">
        <v>1418</v>
      </c>
      <c r="I16" s="5" t="n">
        <v>23.1944999694824</v>
      </c>
      <c r="J16" s="5" t="n">
        <v>378.535692752644</v>
      </c>
      <c r="K16" s="5" t="n">
        <v>217.531761723354</v>
      </c>
      <c r="L16" s="5" t="n">
        <v>323.64584320809</v>
      </c>
      <c r="M16" s="2" t="s">
        <v>145</v>
      </c>
      <c r="R16" s="5"/>
      <c r="S16" s="5"/>
      <c r="T16" s="5"/>
    </row>
    <row r="17" customFormat="false" ht="13.8" hidden="false" customHeight="true" outlineLevel="0" collapsed="false">
      <c r="A17" s="1" t="s">
        <v>10</v>
      </c>
      <c r="B17" s="1" t="n">
        <v>25</v>
      </c>
      <c r="C17" s="1" t="n">
        <v>250</v>
      </c>
      <c r="D17" s="6" t="n">
        <v>-29.593206</v>
      </c>
      <c r="E17" s="6" t="n">
        <v>-51.1403</v>
      </c>
      <c r="F17" s="1" t="s">
        <v>146</v>
      </c>
      <c r="G17" s="5" t="n">
        <v>9.99460220336914</v>
      </c>
      <c r="H17" s="5" t="n">
        <v>1553</v>
      </c>
      <c r="I17" s="5" t="n">
        <v>23.3624992370605</v>
      </c>
      <c r="J17" s="5" t="n">
        <v>279.290545045388</v>
      </c>
      <c r="K17" s="5" t="n">
        <v>202.703421465482</v>
      </c>
      <c r="L17" s="5" t="n">
        <v>433.492411648693</v>
      </c>
      <c r="M17" s="2" t="s">
        <v>147</v>
      </c>
      <c r="R17" s="5"/>
      <c r="S17" s="5"/>
      <c r="T17" s="5"/>
    </row>
    <row r="18" customFormat="false" ht="13.8" hidden="false" customHeight="true" outlineLevel="0" collapsed="false">
      <c r="A18" s="1" t="s">
        <v>19</v>
      </c>
      <c r="B18" s="1" t="n">
        <v>25</v>
      </c>
      <c r="C18" s="1" t="n">
        <v>250</v>
      </c>
      <c r="D18" s="6" t="n">
        <v>-29.595517</v>
      </c>
      <c r="E18" s="6" t="n">
        <v>-51.1903</v>
      </c>
      <c r="F18" s="1" t="s">
        <v>146</v>
      </c>
      <c r="G18" s="5" t="n">
        <v>10.4638376235962</v>
      </c>
      <c r="H18" s="5" t="n">
        <v>1515</v>
      </c>
      <c r="I18" s="5" t="n">
        <v>23.5740013122559</v>
      </c>
      <c r="J18" s="5" t="n">
        <v>303.078994851468</v>
      </c>
      <c r="K18" s="5" t="n">
        <v>218.296663394256</v>
      </c>
      <c r="L18" s="5" t="n">
        <v>422.757147715104</v>
      </c>
      <c r="M18" s="2" t="s">
        <v>147</v>
      </c>
      <c r="R18" s="5"/>
      <c r="S18" s="5"/>
      <c r="T18" s="5"/>
    </row>
    <row r="19" customFormat="false" ht="13.8" hidden="false" customHeight="true" outlineLevel="0" collapsed="false">
      <c r="A19" s="1" t="s">
        <v>31</v>
      </c>
      <c r="B19" s="1" t="n">
        <v>25</v>
      </c>
      <c r="C19" s="1" t="n">
        <v>250</v>
      </c>
      <c r="D19" s="6" t="n">
        <v>-29.546383</v>
      </c>
      <c r="E19" s="6" t="n">
        <v>-51.13065</v>
      </c>
      <c r="F19" s="1" t="s">
        <v>146</v>
      </c>
      <c r="G19" s="5" t="n">
        <v>9.98990917205811</v>
      </c>
      <c r="H19" s="5" t="n">
        <v>1625</v>
      </c>
      <c r="I19" s="5" t="n">
        <v>22.3950004577637</v>
      </c>
      <c r="J19" s="5" t="n">
        <v>418.7971039183</v>
      </c>
      <c r="K19" s="5" t="n">
        <v>203.866059479293</v>
      </c>
      <c r="L19" s="5" t="n">
        <v>496.746044311868</v>
      </c>
      <c r="M19" s="2" t="s">
        <v>147</v>
      </c>
      <c r="R19" s="5"/>
      <c r="S19" s="5"/>
      <c r="T19" s="5"/>
    </row>
    <row r="20" customFormat="false" ht="13.8" hidden="false" customHeight="true" outlineLevel="0" collapsed="false">
      <c r="A20" s="1" t="s">
        <v>39</v>
      </c>
      <c r="B20" s="1" t="n">
        <v>25</v>
      </c>
      <c r="C20" s="1" t="n">
        <v>600</v>
      </c>
      <c r="D20" s="6" t="n">
        <v>-29.583333</v>
      </c>
      <c r="E20" s="6" t="n">
        <v>-50.433333</v>
      </c>
      <c r="F20" s="1" t="s">
        <v>146</v>
      </c>
      <c r="G20" s="5" t="n">
        <v>10.1132783889771</v>
      </c>
      <c r="H20" s="5" t="n">
        <v>1845</v>
      </c>
      <c r="I20" s="5" t="n">
        <v>20.7024993896484</v>
      </c>
      <c r="J20" s="5" t="n">
        <v>356.301164473817</v>
      </c>
      <c r="K20" s="5" t="n">
        <v>204.895018050417</v>
      </c>
      <c r="L20" s="5" t="n">
        <v>529.1183007034</v>
      </c>
      <c r="M20" s="2" t="s">
        <v>148</v>
      </c>
      <c r="R20" s="5"/>
      <c r="S20" s="5"/>
      <c r="T20" s="5"/>
    </row>
    <row r="21" customFormat="false" ht="13.8" hidden="false" customHeight="true" outlineLevel="0" collapsed="false">
      <c r="A21" s="1" t="s">
        <v>58</v>
      </c>
      <c r="B21" s="1" t="n">
        <v>100</v>
      </c>
      <c r="C21" s="1" t="n">
        <f aca="false">100*10</f>
        <v>1000</v>
      </c>
      <c r="D21" s="6" t="n">
        <v>-31.498150583</v>
      </c>
      <c r="E21" s="6" t="n">
        <v>-52.71282733</v>
      </c>
      <c r="F21" s="1" t="s">
        <v>146</v>
      </c>
      <c r="G21" s="5" t="n">
        <v>14.8876428604126</v>
      </c>
      <c r="H21" s="5" t="n">
        <v>1456</v>
      </c>
      <c r="I21" s="5" t="n">
        <v>22.6375007629395</v>
      </c>
      <c r="J21" s="5" t="n">
        <v>226.842007781261</v>
      </c>
      <c r="K21" s="5" t="n">
        <v>167.006873790555</v>
      </c>
      <c r="L21" s="5" t="n">
        <v>381.378654527456</v>
      </c>
      <c r="M21" s="2" t="s">
        <v>140</v>
      </c>
      <c r="R21" s="5"/>
      <c r="S21" s="5"/>
      <c r="T21" s="5"/>
    </row>
    <row r="22" customFormat="false" ht="13.8" hidden="false" customHeight="true" outlineLevel="0" collapsed="false">
      <c r="A22" s="1" t="s">
        <v>78</v>
      </c>
      <c r="B22" s="1" t="n">
        <v>100</v>
      </c>
      <c r="C22" s="1" t="n">
        <f aca="false">100*10</f>
        <v>1000</v>
      </c>
      <c r="D22" s="7" t="n">
        <v>-31.43089355</v>
      </c>
      <c r="E22" s="7" t="n">
        <v>-52.6244151</v>
      </c>
      <c r="F22" s="1" t="s">
        <v>146</v>
      </c>
      <c r="G22" s="5" t="n">
        <v>14.9759769439697</v>
      </c>
      <c r="H22" s="5" t="n">
        <v>1452</v>
      </c>
      <c r="I22" s="5" t="n">
        <v>22.7456665039062</v>
      </c>
      <c r="J22" s="5" t="n">
        <v>219.763421723854</v>
      </c>
      <c r="K22" s="5" t="n">
        <v>182.110447256702</v>
      </c>
      <c r="L22" s="5" t="n">
        <v>441.145065546962</v>
      </c>
      <c r="M22" s="2" t="s">
        <v>140</v>
      </c>
      <c r="R22" s="5"/>
      <c r="S22" s="5"/>
      <c r="T22" s="5"/>
    </row>
    <row r="23" customFormat="false" ht="13.8" hidden="false" customHeight="false" outlineLevel="0" collapsed="false">
      <c r="A23" s="1" t="s">
        <v>80</v>
      </c>
      <c r="B23" s="1" t="n">
        <v>100</v>
      </c>
      <c r="C23" s="1" t="n">
        <f aca="false">100*10</f>
        <v>1000</v>
      </c>
      <c r="D23" s="7" t="n">
        <v>-31.44207155</v>
      </c>
      <c r="E23" s="7" t="n">
        <v>-52.62230449</v>
      </c>
      <c r="F23" s="1" t="s">
        <v>146</v>
      </c>
      <c r="G23" s="5" t="n">
        <v>14.9759769439697</v>
      </c>
      <c r="H23" s="5" t="n">
        <v>1452</v>
      </c>
      <c r="I23" s="5" t="n">
        <v>22.7456665039062</v>
      </c>
      <c r="J23" s="5" t="n">
        <v>205.27188616095</v>
      </c>
      <c r="K23" s="5" t="n">
        <v>194.19611166436</v>
      </c>
      <c r="L23" s="5" t="n">
        <v>397.107597116817</v>
      </c>
      <c r="M23" s="2" t="s">
        <v>140</v>
      </c>
    </row>
    <row r="24" customFormat="false" ht="13.8" hidden="false" customHeight="false" outlineLevel="0" collapsed="false">
      <c r="A24" s="1" t="s">
        <v>84</v>
      </c>
      <c r="B24" s="1" t="n">
        <v>100</v>
      </c>
      <c r="C24" s="1" t="n">
        <f aca="false">100*10</f>
        <v>1000</v>
      </c>
      <c r="D24" s="7" t="n">
        <v>-31.52421539</v>
      </c>
      <c r="E24" s="7" t="n">
        <v>-52.62950719</v>
      </c>
      <c r="F24" s="1" t="s">
        <v>146</v>
      </c>
      <c r="G24" s="5" t="n">
        <v>15.1582517623901</v>
      </c>
      <c r="H24" s="5" t="n">
        <v>1433</v>
      </c>
      <c r="I24" s="5" t="n">
        <v>23.0433330535889</v>
      </c>
      <c r="J24" s="5" t="n">
        <v>236.267626440946</v>
      </c>
      <c r="K24" s="5" t="n">
        <v>192.909069170789</v>
      </c>
      <c r="L24" s="5" t="n">
        <v>458.744409211135</v>
      </c>
      <c r="M24" s="2" t="s">
        <v>140</v>
      </c>
    </row>
    <row r="25" customFormat="false" ht="13.8" hidden="false" customHeight="false" outlineLevel="0" collapsed="false">
      <c r="A25" s="1" t="s">
        <v>94</v>
      </c>
      <c r="B25" s="1" t="n">
        <v>25</v>
      </c>
      <c r="C25" s="1" t="n">
        <v>1000</v>
      </c>
      <c r="D25" s="6" t="n">
        <v>-29.51695</v>
      </c>
      <c r="E25" s="6" t="n">
        <v>-50.912994</v>
      </c>
      <c r="F25" s="1" t="s">
        <v>146</v>
      </c>
      <c r="G25" s="5" t="n">
        <v>9.63208484649658</v>
      </c>
      <c r="H25" s="5" t="n">
        <v>1739</v>
      </c>
      <c r="I25" s="5" t="n">
        <v>21.5550003051758</v>
      </c>
      <c r="J25" s="5" t="n">
        <v>449</v>
      </c>
      <c r="K25" s="5" t="n">
        <v>241.501451013953</v>
      </c>
      <c r="L25" s="5" t="n">
        <v>550.426519428169</v>
      </c>
      <c r="M25" s="2" t="s">
        <v>149</v>
      </c>
    </row>
    <row r="26" customFormat="false" ht="13.8" hidden="false" customHeight="false" outlineLevel="0" collapsed="false">
      <c r="A26" s="1" t="s">
        <v>95</v>
      </c>
      <c r="B26" s="1" t="n">
        <v>25</v>
      </c>
      <c r="C26" s="1" t="n">
        <v>2000</v>
      </c>
      <c r="D26" s="6" t="n">
        <v>-29.502028</v>
      </c>
      <c r="E26" s="6" t="n">
        <v>-50.997853</v>
      </c>
      <c r="F26" s="1" t="s">
        <v>146</v>
      </c>
      <c r="G26" s="5" t="n">
        <v>9.83910942077637</v>
      </c>
      <c r="H26" s="5" t="n">
        <v>1788</v>
      </c>
      <c r="I26" s="5" t="n">
        <v>20.8190002441406</v>
      </c>
      <c r="J26" s="5" t="n">
        <v>493.512278987137</v>
      </c>
      <c r="K26" s="5" t="n">
        <v>245.073557355923</v>
      </c>
      <c r="L26" s="5" t="n">
        <v>492.89375821699</v>
      </c>
      <c r="M26" s="2" t="s">
        <v>149</v>
      </c>
    </row>
    <row r="27" customFormat="false" ht="13.8" hidden="false" customHeight="false" outlineLevel="0" collapsed="false">
      <c r="A27" s="1" t="s">
        <v>102</v>
      </c>
      <c r="B27" s="1" t="n">
        <v>25</v>
      </c>
      <c r="C27" s="1" t="n">
        <v>2500</v>
      </c>
      <c r="D27" s="6" t="n">
        <v>-27.136525</v>
      </c>
      <c r="E27" s="6" t="n">
        <v>-53.879737</v>
      </c>
      <c r="F27" s="1" t="s">
        <v>146</v>
      </c>
      <c r="G27" s="5" t="n">
        <v>11.0499744415283</v>
      </c>
      <c r="H27" s="5" t="n">
        <v>1856</v>
      </c>
      <c r="I27" s="5" t="n">
        <v>24.3943328857422</v>
      </c>
      <c r="J27" s="5" t="n">
        <v>380.454467561332</v>
      </c>
      <c r="K27" s="5" t="n">
        <v>242.982538462171</v>
      </c>
      <c r="L27" s="5" t="n">
        <v>596.874185976477</v>
      </c>
      <c r="M27" s="2" t="s">
        <v>150</v>
      </c>
    </row>
    <row r="28" customFormat="false" ht="13.8" hidden="false" customHeight="false" outlineLevel="0" collapsed="false">
      <c r="A28" s="1" t="s">
        <v>109</v>
      </c>
      <c r="B28" s="1" t="n">
        <v>25</v>
      </c>
      <c r="C28" s="1" t="n">
        <v>1000</v>
      </c>
      <c r="D28" s="6" t="n">
        <v>-27.182456</v>
      </c>
      <c r="E28" s="6" t="n">
        <v>-53.847663</v>
      </c>
      <c r="F28" s="1" t="s">
        <v>146</v>
      </c>
      <c r="G28" s="5" t="n">
        <v>10.8031949996948</v>
      </c>
      <c r="H28" s="5" t="n">
        <v>1859</v>
      </c>
      <c r="I28" s="5" t="n">
        <v>24.0301666259766</v>
      </c>
      <c r="J28" s="5" t="n">
        <v>402.666571317367</v>
      </c>
      <c r="K28" s="5" t="n">
        <v>244.632304019875</v>
      </c>
      <c r="L28" s="5" t="n">
        <v>613.028155525478</v>
      </c>
      <c r="M28" s="2" t="s">
        <v>150</v>
      </c>
    </row>
    <row r="29" customFormat="false" ht="13.8" hidden="false" customHeight="false" outlineLevel="0" collapsed="false">
      <c r="A29" s="1" t="s">
        <v>110</v>
      </c>
      <c r="B29" s="1" t="n">
        <v>25</v>
      </c>
      <c r="C29" s="1" t="n">
        <v>1000</v>
      </c>
      <c r="D29" s="6" t="n">
        <v>-27.218662</v>
      </c>
      <c r="E29" s="6" t="n">
        <v>-53.852178</v>
      </c>
      <c r="F29" s="1" t="s">
        <v>146</v>
      </c>
      <c r="G29" s="5" t="n">
        <v>10.8031949996948</v>
      </c>
      <c r="H29" s="5" t="n">
        <v>1859</v>
      </c>
      <c r="I29" s="5" t="n">
        <v>24.0301666259766</v>
      </c>
      <c r="J29" s="5" t="n">
        <v>405.251499837377</v>
      </c>
      <c r="K29" s="5" t="n">
        <v>211.899983815473</v>
      </c>
      <c r="L29" s="5" t="n">
        <v>561.951116761388</v>
      </c>
      <c r="M29" s="2" t="s">
        <v>150</v>
      </c>
    </row>
    <row r="30" customFormat="false" ht="13.8" hidden="false" customHeight="false" outlineLevel="0" collapsed="false">
      <c r="A30" s="1" t="s">
        <v>111</v>
      </c>
      <c r="B30" s="1" t="n">
        <v>4</v>
      </c>
      <c r="C30" s="1" t="n">
        <v>120</v>
      </c>
      <c r="D30" s="6" t="n">
        <v>-27.205511</v>
      </c>
      <c r="E30" s="6" t="n">
        <v>-53.916193</v>
      </c>
      <c r="F30" s="1" t="s">
        <v>146</v>
      </c>
      <c r="G30" s="5" t="n">
        <v>10.8031949996948</v>
      </c>
      <c r="H30" s="5" t="n">
        <v>1859</v>
      </c>
      <c r="I30" s="5" t="n">
        <v>24.0301666259766</v>
      </c>
      <c r="J30" s="5" t="n">
        <v>398.915660822214</v>
      </c>
      <c r="K30" s="5" t="n">
        <v>239.426482029984</v>
      </c>
      <c r="L30" s="5" t="n">
        <v>589.257495495223</v>
      </c>
      <c r="M30" s="2" t="s">
        <v>151</v>
      </c>
    </row>
    <row r="31" customFormat="false" ht="13.8" hidden="false" customHeight="false" outlineLevel="0" collapsed="false">
      <c r="A31" s="1" t="s">
        <v>25</v>
      </c>
      <c r="B31" s="1" t="n">
        <v>25</v>
      </c>
      <c r="C31" s="1" t="n">
        <v>600</v>
      </c>
      <c r="D31" s="6" t="n">
        <v>-29.392778</v>
      </c>
      <c r="E31" s="6" t="n">
        <v>-50.692222</v>
      </c>
      <c r="F31" s="1" t="s">
        <v>152</v>
      </c>
      <c r="G31" s="5" t="n">
        <v>9.87152576446533</v>
      </c>
      <c r="H31" s="5" t="n">
        <v>1925</v>
      </c>
      <c r="I31" s="5" t="n">
        <v>20.1410007476807</v>
      </c>
      <c r="J31" s="5" t="n">
        <v>464.391019738059</v>
      </c>
      <c r="K31" s="5" t="n">
        <v>245.75863131472</v>
      </c>
      <c r="L31" s="5" t="n">
        <v>536.622607529191</v>
      </c>
      <c r="M31" s="2" t="s">
        <v>148</v>
      </c>
    </row>
    <row r="32" customFormat="false" ht="13.8" hidden="false" customHeight="false" outlineLevel="0" collapsed="false">
      <c r="A32" s="1" t="s">
        <v>67</v>
      </c>
      <c r="B32" s="1" t="n">
        <v>100</v>
      </c>
      <c r="C32" s="1" t="n">
        <v>8400</v>
      </c>
      <c r="D32" s="6" t="n">
        <v>-29.134469</v>
      </c>
      <c r="E32" s="6" t="n">
        <v>-50.118572</v>
      </c>
      <c r="F32" s="1" t="s">
        <v>152</v>
      </c>
      <c r="G32" s="5" t="n">
        <v>11.0485343933105</v>
      </c>
      <c r="H32" s="5" t="n">
        <v>1863</v>
      </c>
      <c r="I32" s="5" t="n">
        <v>18.8488330841064</v>
      </c>
      <c r="J32" s="5" t="n">
        <v>504.421475100395</v>
      </c>
      <c r="K32" s="5" t="n">
        <v>273.045108628281</v>
      </c>
      <c r="L32" s="5" t="n">
        <v>541.18935617099</v>
      </c>
      <c r="M32" s="2" t="s">
        <v>153</v>
      </c>
    </row>
    <row r="33" customFormat="false" ht="13.8" hidden="false" customHeight="false" outlineLevel="0" collapsed="false">
      <c r="A33" s="1" t="s">
        <v>87</v>
      </c>
      <c r="B33" s="1" t="n">
        <v>25</v>
      </c>
      <c r="C33" s="1" t="n">
        <f aca="false">1000*2</f>
        <v>2000</v>
      </c>
      <c r="D33" s="6" t="n">
        <v>-29.447361</v>
      </c>
      <c r="E33" s="6" t="n">
        <v>-50.548389</v>
      </c>
      <c r="F33" s="1" t="s">
        <v>152</v>
      </c>
      <c r="G33" s="5" t="n">
        <v>9.45294094085693</v>
      </c>
      <c r="H33" s="5" t="n">
        <v>2048</v>
      </c>
      <c r="I33" s="5" t="n">
        <v>19.3653335571289</v>
      </c>
      <c r="J33" s="5" t="n">
        <v>467.278512593807</v>
      </c>
      <c r="K33" s="5" t="n">
        <v>258.665218585113</v>
      </c>
      <c r="L33" s="5" t="n">
        <v>500.592894585425</v>
      </c>
      <c r="M33" s="2" t="s">
        <v>154</v>
      </c>
    </row>
    <row r="34" customFormat="false" ht="13.8" hidden="false" customHeight="false" outlineLevel="0" collapsed="false">
      <c r="A34" s="1" t="s">
        <v>92</v>
      </c>
      <c r="B34" s="1" t="n">
        <v>100</v>
      </c>
      <c r="C34" s="1" t="n">
        <f aca="false">1200*4</f>
        <v>4800</v>
      </c>
      <c r="D34" s="6" t="n">
        <v>-29.475427</v>
      </c>
      <c r="E34" s="6" t="n">
        <v>-50.350936</v>
      </c>
      <c r="F34" s="1" t="s">
        <v>152</v>
      </c>
      <c r="G34" s="5" t="n">
        <v>10.0322275161743</v>
      </c>
      <c r="H34" s="5" t="n">
        <v>2036</v>
      </c>
      <c r="I34" s="5" t="n">
        <v>19.1075000762939</v>
      </c>
      <c r="J34" s="5" t="n">
        <v>471.724407198781</v>
      </c>
      <c r="K34" s="5" t="n">
        <v>227.516685524319</v>
      </c>
      <c r="L34" s="5" t="n">
        <v>510.848826792117</v>
      </c>
      <c r="M34" s="2" t="s">
        <v>155</v>
      </c>
    </row>
    <row r="35" customFormat="false" ht="13.8" hidden="false" customHeight="false" outlineLevel="0" collapsed="false">
      <c r="A35" s="1" t="s">
        <v>117</v>
      </c>
      <c r="B35" s="1" t="n">
        <v>36</v>
      </c>
      <c r="C35" s="1" t="n">
        <v>576</v>
      </c>
      <c r="D35" s="6" t="n">
        <v>-28.205552</v>
      </c>
      <c r="E35" s="6" t="n">
        <v>-49.376359</v>
      </c>
      <c r="F35" s="1" t="s">
        <v>152</v>
      </c>
      <c r="G35" s="5" t="n">
        <v>27.3013095855713</v>
      </c>
      <c r="H35" s="5" t="n">
        <v>1484</v>
      </c>
      <c r="I35" s="5" t="n">
        <v>21.9051666259766</v>
      </c>
      <c r="J35" s="5" t="n">
        <v>467.282927320563</v>
      </c>
      <c r="K35" s="5" t="n">
        <v>217.180788624977</v>
      </c>
      <c r="L35" s="5" t="n">
        <v>332.923967661946</v>
      </c>
      <c r="M35" s="2" t="s">
        <v>156</v>
      </c>
    </row>
    <row r="36" customFormat="false" ht="13.8" hidden="false" customHeight="false" outlineLevel="0" collapsed="false">
      <c r="G36" s="5"/>
      <c r="H36" s="5"/>
      <c r="I36" s="5"/>
      <c r="J36" s="5"/>
      <c r="K36" s="5"/>
      <c r="L36" s="5"/>
    </row>
  </sheetData>
  <autoFilter ref="A1:M35"/>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&amp;C&amp;"Nimbus Roman,Regular"&amp;12&amp;Kffffff&amp;A</oddHeader>
    <oddFooter>&amp;C&amp;"Nimbus Roman,Regular"&amp;12&amp;KffffffPage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B10" activeCellId="0" sqref="B10"/>
    </sheetView>
  </sheetViews>
  <sheetFormatPr defaultColWidth="11.53515625" defaultRowHeight="13.8" zeroHeight="false" outlineLevelRow="0" outlineLevelCol="0"/>
  <cols>
    <col collapsed="false" customWidth="true" hidden="false" outlineLevel="0" max="1" min="1" style="1" width="9.07"/>
    <col collapsed="false" customWidth="true" hidden="false" outlineLevel="0" max="2" min="2" style="1" width="13.03"/>
    <col collapsed="false" customWidth="true" hidden="false" outlineLevel="0" max="3" min="3" style="1" width="13.9"/>
    <col collapsed="false" customWidth="true" hidden="false" outlineLevel="0" max="4" min="4" style="1" width="12.86"/>
    <col collapsed="false" customWidth="true" hidden="false" outlineLevel="0" max="5" min="5" style="1" width="20.14"/>
    <col collapsed="false" customWidth="true" hidden="false" outlineLevel="0" max="6" min="6" style="1" width="19.12"/>
  </cols>
  <sheetData>
    <row r="1" customFormat="false" ht="13.8" hidden="false" customHeight="false" outlineLevel="0" collapsed="false">
      <c r="A1" s="2" t="s">
        <v>157</v>
      </c>
      <c r="B1" s="2" t="s">
        <v>158</v>
      </c>
      <c r="C1" s="2" t="s">
        <v>159</v>
      </c>
      <c r="D1" s="2" t="s">
        <v>160</v>
      </c>
      <c r="E1" s="2" t="s">
        <v>161</v>
      </c>
      <c r="F1" s="2" t="s">
        <v>162</v>
      </c>
    </row>
    <row r="2" customFormat="false" ht="13.8" hidden="false" customHeight="false" outlineLevel="0" collapsed="false">
      <c r="A2" s="1" t="s">
        <v>144</v>
      </c>
      <c r="B2" s="6" t="n">
        <v>-25.563548</v>
      </c>
      <c r="C2" s="6" t="n">
        <v>-48.309152</v>
      </c>
      <c r="D2" s="1" t="n">
        <v>4</v>
      </c>
      <c r="E2" s="1" t="n">
        <v>480</v>
      </c>
      <c r="F2" s="1" t="s">
        <v>163</v>
      </c>
    </row>
    <row r="3" customFormat="false" ht="13.8" hidden="false" customHeight="false" outlineLevel="0" collapsed="false">
      <c r="A3" s="2" t="s">
        <v>140</v>
      </c>
      <c r="B3" s="4" t="n">
        <v>-29.3348144441</v>
      </c>
      <c r="C3" s="4" t="n">
        <v>-49.839226743</v>
      </c>
      <c r="D3" s="1" t="n">
        <v>100</v>
      </c>
      <c r="E3" s="1" t="n">
        <v>1900</v>
      </c>
      <c r="F3" s="1" t="s">
        <v>163</v>
      </c>
    </row>
    <row r="4" customFormat="false" ht="13.8" hidden="false" customHeight="false" outlineLevel="0" collapsed="false">
      <c r="A4" s="1" t="s">
        <v>142</v>
      </c>
      <c r="B4" s="6" t="n">
        <v>-27.728943</v>
      </c>
      <c r="C4" s="6" t="n">
        <v>-48.534574</v>
      </c>
      <c r="D4" s="1" t="n">
        <v>100</v>
      </c>
      <c r="E4" s="1" t="n">
        <v>2000</v>
      </c>
      <c r="F4" s="1" t="s">
        <v>163</v>
      </c>
    </row>
    <row r="5" customFormat="false" ht="13.8" hidden="false" customHeight="false" outlineLevel="0" collapsed="false">
      <c r="A5" s="1" t="s">
        <v>145</v>
      </c>
      <c r="B5" s="6" t="n">
        <v>-28.522346</v>
      </c>
      <c r="C5" s="6" t="n">
        <v>-49.331585</v>
      </c>
      <c r="D5" s="1" t="n">
        <v>4</v>
      </c>
      <c r="E5" s="1" t="n">
        <v>1280</v>
      </c>
      <c r="F5" s="1" t="s">
        <v>163</v>
      </c>
    </row>
    <row r="6" customFormat="false" ht="13.8" hidden="false" customHeight="false" outlineLevel="0" collapsed="false">
      <c r="A6" s="1" t="s">
        <v>147</v>
      </c>
      <c r="B6" s="6" t="n">
        <v>-29.593206</v>
      </c>
      <c r="C6" s="6" t="n">
        <v>-51.1403</v>
      </c>
      <c r="D6" s="1" t="n">
        <v>25</v>
      </c>
      <c r="E6" s="1" t="n">
        <v>250</v>
      </c>
      <c r="F6" s="1" t="s">
        <v>164</v>
      </c>
    </row>
    <row r="7" customFormat="false" ht="13.8" hidden="false" customHeight="false" outlineLevel="0" collapsed="false">
      <c r="A7" s="1" t="s">
        <v>147</v>
      </c>
      <c r="B7" s="6" t="n">
        <v>-29.595517</v>
      </c>
      <c r="C7" s="6" t="n">
        <v>-51.1903</v>
      </c>
      <c r="D7" s="1" t="n">
        <v>25</v>
      </c>
      <c r="E7" s="1" t="n">
        <v>250</v>
      </c>
      <c r="F7" s="1" t="s">
        <v>164</v>
      </c>
    </row>
    <row r="8" customFormat="false" ht="13.8" hidden="false" customHeight="false" outlineLevel="0" collapsed="false">
      <c r="A8" s="1" t="s">
        <v>147</v>
      </c>
      <c r="B8" s="6" t="n">
        <v>-29.546383</v>
      </c>
      <c r="C8" s="6" t="n">
        <v>-51.13065</v>
      </c>
      <c r="D8" s="1" t="n">
        <v>25</v>
      </c>
      <c r="E8" s="1" t="n">
        <v>250</v>
      </c>
      <c r="F8" s="1" t="s">
        <v>164</v>
      </c>
    </row>
    <row r="9" customFormat="false" ht="13.8" hidden="false" customHeight="false" outlineLevel="0" collapsed="false">
      <c r="A9" s="1" t="s">
        <v>148</v>
      </c>
      <c r="B9" s="6" t="n">
        <v>-29.583333</v>
      </c>
      <c r="C9" s="6" t="n">
        <v>-50.433333</v>
      </c>
      <c r="D9" s="1" t="n">
        <v>25</v>
      </c>
      <c r="E9" s="1" t="n">
        <v>600</v>
      </c>
      <c r="F9" s="1" t="s">
        <v>164</v>
      </c>
    </row>
    <row r="10" customFormat="false" ht="13.8" hidden="false" customHeight="false" outlineLevel="0" collapsed="false">
      <c r="A10" s="2" t="s">
        <v>140</v>
      </c>
      <c r="B10" s="6" t="n">
        <v>-31.498150583</v>
      </c>
      <c r="C10" s="6" t="n">
        <v>-52.71282733</v>
      </c>
      <c r="D10" s="1" t="n">
        <v>100</v>
      </c>
      <c r="E10" s="1" t="n">
        <f aca="false">100*10</f>
        <v>1000</v>
      </c>
      <c r="F10" s="1" t="s">
        <v>164</v>
      </c>
    </row>
    <row r="11" customFormat="false" ht="13.8" hidden="false" customHeight="false" outlineLevel="0" collapsed="false">
      <c r="A11" s="2" t="s">
        <v>140</v>
      </c>
      <c r="B11" s="7" t="n">
        <v>-31.43089355</v>
      </c>
      <c r="C11" s="7" t="n">
        <v>-52.6244151</v>
      </c>
      <c r="D11" s="1" t="n">
        <v>100</v>
      </c>
      <c r="E11" s="1" t="n">
        <f aca="false">100*10</f>
        <v>1000</v>
      </c>
      <c r="F11" s="1" t="s">
        <v>164</v>
      </c>
    </row>
    <row r="12" customFormat="false" ht="13.8" hidden="false" customHeight="false" outlineLevel="0" collapsed="false">
      <c r="A12" s="2" t="s">
        <v>140</v>
      </c>
      <c r="B12" s="7" t="n">
        <v>-31.44207155</v>
      </c>
      <c r="C12" s="7" t="n">
        <v>-52.62230449</v>
      </c>
      <c r="D12" s="1" t="n">
        <v>100</v>
      </c>
      <c r="E12" s="1" t="n">
        <f aca="false">100*10</f>
        <v>1000</v>
      </c>
      <c r="F12" s="1" t="s">
        <v>164</v>
      </c>
    </row>
    <row r="13" customFormat="false" ht="13.8" hidden="false" customHeight="false" outlineLevel="0" collapsed="false">
      <c r="A13" s="2" t="s">
        <v>140</v>
      </c>
      <c r="B13" s="7" t="n">
        <v>-31.52421539</v>
      </c>
      <c r="C13" s="7" t="n">
        <v>-52.62950719</v>
      </c>
      <c r="D13" s="1" t="n">
        <v>100</v>
      </c>
      <c r="E13" s="1" t="n">
        <f aca="false">100*10</f>
        <v>1000</v>
      </c>
      <c r="F13" s="1" t="s">
        <v>164</v>
      </c>
    </row>
    <row r="14" customFormat="false" ht="13.8" hidden="false" customHeight="false" outlineLevel="0" collapsed="false">
      <c r="A14" s="1" t="s">
        <v>149</v>
      </c>
      <c r="B14" s="6" t="n">
        <v>-29.51695</v>
      </c>
      <c r="C14" s="6" t="n">
        <v>-50.912994</v>
      </c>
      <c r="D14" s="1" t="n">
        <v>25</v>
      </c>
      <c r="E14" s="1" t="n">
        <v>1000</v>
      </c>
      <c r="F14" s="1" t="s">
        <v>164</v>
      </c>
    </row>
    <row r="15" customFormat="false" ht="13.8" hidden="false" customHeight="false" outlineLevel="0" collapsed="false">
      <c r="A15" s="1" t="s">
        <v>149</v>
      </c>
      <c r="B15" s="6" t="n">
        <v>-29.502028</v>
      </c>
      <c r="C15" s="6" t="n">
        <v>-50.997853</v>
      </c>
      <c r="D15" s="1" t="n">
        <v>25</v>
      </c>
      <c r="E15" s="1" t="n">
        <v>2000</v>
      </c>
      <c r="F15" s="1" t="s">
        <v>164</v>
      </c>
    </row>
    <row r="16" customFormat="false" ht="13.8" hidden="false" customHeight="false" outlineLevel="0" collapsed="false">
      <c r="A16" s="1" t="s">
        <v>150</v>
      </c>
      <c r="B16" s="6" t="n">
        <v>-27.136525</v>
      </c>
      <c r="C16" s="6" t="n">
        <v>-53.879737</v>
      </c>
      <c r="D16" s="1" t="n">
        <v>25</v>
      </c>
      <c r="E16" s="1" t="n">
        <v>2500</v>
      </c>
      <c r="F16" s="1" t="s">
        <v>164</v>
      </c>
    </row>
    <row r="17" customFormat="false" ht="13.8" hidden="false" customHeight="false" outlineLevel="0" collapsed="false">
      <c r="A17" s="1" t="s">
        <v>150</v>
      </c>
      <c r="B17" s="6" t="n">
        <v>-27.182456</v>
      </c>
      <c r="C17" s="6" t="n">
        <v>-53.847663</v>
      </c>
      <c r="D17" s="1" t="n">
        <v>25</v>
      </c>
      <c r="E17" s="1" t="n">
        <v>1000</v>
      </c>
      <c r="F17" s="1" t="s">
        <v>164</v>
      </c>
    </row>
    <row r="18" customFormat="false" ht="13.8" hidden="false" customHeight="false" outlineLevel="0" collapsed="false">
      <c r="A18" s="1" t="s">
        <v>150</v>
      </c>
      <c r="B18" s="6" t="n">
        <v>-27.218662</v>
      </c>
      <c r="C18" s="6" t="n">
        <v>-53.852178</v>
      </c>
      <c r="D18" s="1" t="n">
        <v>25</v>
      </c>
      <c r="E18" s="1" t="n">
        <v>1000</v>
      </c>
      <c r="F18" s="1" t="s">
        <v>164</v>
      </c>
    </row>
    <row r="19" customFormat="false" ht="13.8" hidden="false" customHeight="false" outlineLevel="0" collapsed="false">
      <c r="A19" s="1" t="s">
        <v>151</v>
      </c>
      <c r="B19" s="6" t="n">
        <v>-27.205511</v>
      </c>
      <c r="C19" s="6" t="n">
        <v>-53.916193</v>
      </c>
      <c r="D19" s="1" t="n">
        <v>4</v>
      </c>
      <c r="E19" s="1" t="n">
        <v>120</v>
      </c>
      <c r="F19" s="1" t="s">
        <v>164</v>
      </c>
    </row>
    <row r="20" customFormat="false" ht="13.8" hidden="false" customHeight="false" outlineLevel="0" collapsed="false">
      <c r="A20" s="1" t="s">
        <v>148</v>
      </c>
      <c r="B20" s="6" t="n">
        <v>-29.392778</v>
      </c>
      <c r="C20" s="6" t="n">
        <v>-50.692222</v>
      </c>
      <c r="D20" s="1" t="n">
        <v>25</v>
      </c>
      <c r="E20" s="1" t="n">
        <v>600</v>
      </c>
      <c r="F20" s="1" t="s">
        <v>165</v>
      </c>
    </row>
    <row r="21" customFormat="false" ht="13.8" hidden="false" customHeight="false" outlineLevel="0" collapsed="false">
      <c r="A21" s="1" t="s">
        <v>153</v>
      </c>
      <c r="B21" s="6" t="n">
        <v>-29.134469</v>
      </c>
      <c r="C21" s="6" t="n">
        <v>-50.118572</v>
      </c>
      <c r="D21" s="1" t="n">
        <v>100</v>
      </c>
      <c r="E21" s="1" t="n">
        <v>8400</v>
      </c>
      <c r="F21" s="1" t="s">
        <v>165</v>
      </c>
    </row>
    <row r="22" customFormat="false" ht="13.8" hidden="false" customHeight="false" outlineLevel="0" collapsed="false">
      <c r="A22" s="1" t="s">
        <v>154</v>
      </c>
      <c r="B22" s="6" t="n">
        <v>-29.447361</v>
      </c>
      <c r="C22" s="6" t="n">
        <v>-50.548389</v>
      </c>
      <c r="D22" s="1" t="n">
        <v>25</v>
      </c>
      <c r="E22" s="1" t="n">
        <f aca="false">1000*2</f>
        <v>2000</v>
      </c>
      <c r="F22" s="1" t="s">
        <v>165</v>
      </c>
    </row>
    <row r="23" customFormat="false" ht="13.8" hidden="false" customHeight="false" outlineLevel="0" collapsed="false">
      <c r="A23" s="1" t="s">
        <v>155</v>
      </c>
      <c r="B23" s="6" t="n">
        <v>-29.475427</v>
      </c>
      <c r="C23" s="6" t="n">
        <v>-50.350936</v>
      </c>
      <c r="D23" s="1" t="n">
        <v>100</v>
      </c>
      <c r="E23" s="1" t="n">
        <f aca="false">1200*4</f>
        <v>4800</v>
      </c>
      <c r="F23" s="1" t="s">
        <v>165</v>
      </c>
    </row>
    <row r="24" customFormat="false" ht="13.8" hidden="false" customHeight="false" outlineLevel="0" collapsed="false">
      <c r="A24" s="1" t="s">
        <v>156</v>
      </c>
      <c r="B24" s="6" t="n">
        <v>-28.205552</v>
      </c>
      <c r="C24" s="6" t="n">
        <v>-49.376359</v>
      </c>
      <c r="D24" s="1" t="n">
        <v>36</v>
      </c>
      <c r="E24" s="1" t="n">
        <v>576</v>
      </c>
      <c r="F24" s="1" t="s">
        <v>165</v>
      </c>
    </row>
    <row r="25" customFormat="false" ht="13.8" hidden="false" customHeight="false" outlineLevel="0" collapsed="false">
      <c r="A25" s="2" t="s">
        <v>140</v>
      </c>
      <c r="B25" s="4" t="n">
        <v>-32.0211652241</v>
      </c>
      <c r="C25" s="4" t="n">
        <v>-52.2499380215</v>
      </c>
      <c r="D25" s="1" t="n">
        <v>100</v>
      </c>
      <c r="E25" s="1" t="n">
        <v>500</v>
      </c>
      <c r="F25" s="1" t="s">
        <v>166</v>
      </c>
    </row>
    <row r="26" customFormat="false" ht="13.8" hidden="false" customHeight="false" outlineLevel="0" collapsed="false">
      <c r="A26" s="2" t="s">
        <v>140</v>
      </c>
      <c r="B26" s="4" t="n">
        <v>-30.0879334107</v>
      </c>
      <c r="C26" s="4" t="n">
        <v>-50.2358912285</v>
      </c>
      <c r="D26" s="1" t="n">
        <v>100</v>
      </c>
      <c r="E26" s="1" t="n">
        <v>1000</v>
      </c>
      <c r="F26" s="1" t="s">
        <v>166</v>
      </c>
    </row>
    <row r="27" customFormat="false" ht="13.8" hidden="false" customHeight="false" outlineLevel="0" collapsed="false">
      <c r="A27" s="2" t="s">
        <v>140</v>
      </c>
      <c r="B27" s="4" t="n">
        <v>-29.3933959113</v>
      </c>
      <c r="C27" s="4" t="n">
        <v>-49.8649993079</v>
      </c>
      <c r="D27" s="1" t="n">
        <v>100</v>
      </c>
      <c r="E27" s="1" t="n">
        <v>600</v>
      </c>
      <c r="F27" s="1" t="s">
        <v>166</v>
      </c>
    </row>
    <row r="28" customFormat="false" ht="13.8" hidden="false" customHeight="false" outlineLevel="0" collapsed="false">
      <c r="A28" s="1" t="s">
        <v>141</v>
      </c>
      <c r="B28" s="6" t="n">
        <v>-31.219874</v>
      </c>
      <c r="C28" s="6" t="n">
        <v>-50.96162</v>
      </c>
      <c r="D28" s="1" t="n">
        <v>4</v>
      </c>
      <c r="E28" s="1" t="n">
        <v>120</v>
      </c>
      <c r="F28" s="1" t="s">
        <v>166</v>
      </c>
    </row>
    <row r="29" customFormat="false" ht="13.8" hidden="false" customHeight="false" outlineLevel="0" collapsed="false">
      <c r="A29" s="2" t="s">
        <v>140</v>
      </c>
      <c r="B29" s="4" t="n">
        <v>-29.333648635</v>
      </c>
      <c r="C29" s="4" t="n">
        <v>-49.9237738399</v>
      </c>
      <c r="D29" s="1" t="n">
        <v>100</v>
      </c>
      <c r="E29" s="1" t="n">
        <v>700</v>
      </c>
      <c r="F29" s="1" t="s">
        <v>166</v>
      </c>
    </row>
    <row r="30" customFormat="false" ht="13.8" hidden="false" customHeight="false" outlineLevel="0" collapsed="false">
      <c r="A30" s="2" t="s">
        <v>140</v>
      </c>
      <c r="B30" s="4" t="n">
        <v>-29.5939741238</v>
      </c>
      <c r="C30" s="4" t="n">
        <v>-50.0168799876</v>
      </c>
      <c r="D30" s="1" t="n">
        <v>100</v>
      </c>
      <c r="E30" s="1" t="n">
        <v>600</v>
      </c>
      <c r="F30" s="1" t="s">
        <v>166</v>
      </c>
    </row>
    <row r="31" customFormat="false" ht="13.8" hidden="false" customHeight="false" outlineLevel="0" collapsed="false">
      <c r="A31" s="2" t="s">
        <v>140</v>
      </c>
      <c r="B31" s="4" t="n">
        <v>-29.6336924155</v>
      </c>
      <c r="C31" s="4" t="n">
        <v>-50.0718370859</v>
      </c>
      <c r="D31" s="1" t="n">
        <v>100</v>
      </c>
      <c r="E31" s="1" t="n">
        <v>700</v>
      </c>
      <c r="F31" s="1" t="s">
        <v>166</v>
      </c>
    </row>
    <row r="32" customFormat="false" ht="13.8" hidden="false" customHeight="false" outlineLevel="0" collapsed="false">
      <c r="A32" s="2" t="s">
        <v>140</v>
      </c>
      <c r="B32" s="4" t="n">
        <v>-32.5608768785</v>
      </c>
      <c r="C32" s="4" t="n">
        <v>-52.508538761</v>
      </c>
      <c r="D32" s="1" t="n">
        <v>100</v>
      </c>
      <c r="E32" s="1" t="n">
        <v>800</v>
      </c>
      <c r="F32" s="1" t="s">
        <v>166</v>
      </c>
    </row>
    <row r="33" customFormat="false" ht="13.8" hidden="false" customHeight="false" outlineLevel="0" collapsed="false">
      <c r="A33" s="2" t="s">
        <v>140</v>
      </c>
      <c r="B33" s="4" t="n">
        <v>-31.220075078</v>
      </c>
      <c r="C33" s="4" t="n">
        <v>-50.9627934047</v>
      </c>
      <c r="D33" s="1" t="n">
        <v>100</v>
      </c>
      <c r="E33" s="1" t="n">
        <v>1500</v>
      </c>
      <c r="F33" s="1" t="s">
        <v>166</v>
      </c>
    </row>
    <row r="34" customFormat="false" ht="13.8" hidden="false" customHeight="false" outlineLevel="0" collapsed="false">
      <c r="A34" s="2" t="s">
        <v>140</v>
      </c>
      <c r="B34" s="4" t="n">
        <v>-29.3626789346</v>
      </c>
      <c r="C34" s="4" t="n">
        <v>-49.7624527855</v>
      </c>
      <c r="D34" s="1" t="n">
        <v>100</v>
      </c>
      <c r="E34" s="1" t="n">
        <v>1000</v>
      </c>
      <c r="F34" s="1" t="s">
        <v>166</v>
      </c>
    </row>
    <row r="35" customFormat="false" ht="13.8" hidden="false" customHeight="false" outlineLevel="0" collapsed="false">
      <c r="A35" s="2" t="s">
        <v>142</v>
      </c>
      <c r="B35" s="6" t="n">
        <v>-27.732482</v>
      </c>
      <c r="C35" s="6" t="n">
        <v>-48.514286</v>
      </c>
      <c r="D35" s="1" t="n">
        <v>100</v>
      </c>
      <c r="E35" s="1" t="n">
        <v>1500</v>
      </c>
      <c r="F35" s="1" t="s">
        <v>166</v>
      </c>
    </row>
  </sheetData>
  <autoFilter ref="B1:F35"/>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Roman,Regular"&amp;12&amp;KffffffPágina &amp;P</oddFooter>
  </headerFooter>
  <drawing r:id="rId1"/>
</worksheet>
</file>

<file path=docProps/app.xml><?xml version="1.0" encoding="utf-8"?>
<Properties xmlns="http://schemas.openxmlformats.org/officeDocument/2006/extended-properties" xmlns:vt="http://schemas.openxmlformats.org/officeDocument/2006/docPropsVTypes">
  <Template/>
  <TotalTime>4327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2019-06-22T00:36:00Z</dcterms:created>
  <dc:creator>'Denilson .</dc:creator>
  <dc:description/>
  <dc:language>pt-BR</dc:language>
  <cp:lastModifiedBy/>
  <dcterms:modified xsi:type="dcterms:W3CDTF">2025-06-13T10:04:48Z</dcterms:modified>
  <cp:revision>178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1046-10.1.0.6757</vt:lpwstr>
  </property>
</Properties>
</file>