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haredStrings.xml" ContentType="application/vnd.openxmlformats-officedocument.spreadsheetml.sharedStrings+xml"/>
  <Override PartName="/xl/theme/theme1.xml" ContentType="application/vnd.openxmlformats-officedocument.theme+xml"/>
  <Override PartName="/xl/workbook.xml" ContentType="application/vnd.openxmlformats-officedocument.spreadsheetml.sheet.main+xml"/>
  <Override PartName="/docProps/core.xml" ContentType="application/vnd.openxmlformats-package.core-properties+xml"/>
  <Override PartName="/xl/worksheets/sheet2.xml" ContentType="application/vnd.openxmlformats-officedocument.spreadsheetml.worksheet+xml"/>
  <Override PartName="/docProps/app.xml" ContentType="application/vnd.openxmlformats-officedocument.extended-properties+xml"/>
  <Override PartName="/xl/styles.xml" ContentType="application/vnd.openxmlformats-officedocument.spreadsheetml.styles+xml"/>
  <Override PartName="/xl/worksheets/sheet5.xml" ContentType="application/vnd.openxmlformats-officedocument.spreadsheetml.worksheet+xml"/>
  <Override PartName="/xl/worksheets/sheet1.xml" ContentType="application/vnd.openxmlformats-officedocument.spreadsheetml.worksheet+xml"/>
  <Override PartName="/xl/worksheets/sheet3.xml" ContentType="application/vnd.openxmlformats-officedocument.spreadsheetml.worksheet+xml"/>
  <Override PartName="/xl/worksheets/sheet6.xml" ContentType="application/vnd.openxmlformats-officedocument.spreadsheetml.worksheet+xml"/>
  <Override PartName="/docProps/custom.xml" ContentType="application/vnd.openxmlformats-officedocument.custom-properties+xml"/>
  <Override PartName="/xl/worksheets/sheet4.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custom-properties" Target="docProps/custom.xml"/><Relationship  Id="rId4"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0"/>
  <workbookProtection/>
  <bookViews>
    <workbookView xWindow="360" yWindow="15" windowWidth="20955" windowHeight="9720" activeTab="0" showHorizontalScroll="1" showVerticalScroll="1"/>
  </bookViews>
  <sheets>
    <sheet name="w_matrix" sheetId="1" state="visible" r:id="rId1"/>
    <sheet name="e_matrix" sheetId="2" state="visible" r:id="rId2"/>
    <sheet name="complete_e_matrix" sheetId="3" state="visible" r:id="rId3"/>
    <sheet name="appendix" sheetId="4" state="visible" r:id="rId4"/>
    <sheet name="species List" sheetId="5" state="visible" r:id="rId5"/>
    <sheet name="vouchers" sheetId="6" state="visible" r:id="rId6"/>
  </sheets>
  <definedNames>
    <definedName name="_xlnm._FilterDatabase" localSheetId="0" hidden="1">w_matrix!$A$1:$C$353</definedName>
    <definedName name="_xlnm._FilterDatabase" localSheetId="1" hidden="1">e_matrix!$A$1:$P$35</definedName>
    <definedName name="_xlnm._FilterDatabase" localSheetId="3" hidden="1">appendix!$B$1:$F$35</definedName>
    <definedName name="_xlnm._FilterDatabase" localSheetId="4" hidden="1">'species List'!$A$1:$E$88</definedName>
    <definedName name="_xlnm._FilterDatabase" localSheetId="5" hidden="1">vouchers!$A$1:$C$52</definedName>
    <definedName name="_xlnm._FilterDatabase" localSheetId="0" hidden="1">w_matrix!$A$1:$C$353</definedName>
    <definedName name="_xlnm._FilterDatabase" localSheetId="1" hidden="1">e_matrix!$A$1:$P$35</definedName>
    <definedName name="_xlnm._FilterDatabase" localSheetId="3" hidden="1">appendix!$B$1:$F$35</definedName>
    <definedName name="_xlnm._FilterDatabase" localSheetId="4" hidden="1">'species List'!$A$1:$E$88</definedName>
    <definedName name="_xlnm._FilterDatabase" localSheetId="5" hidden="1">vouchers!$A$1:$C$52</definedName>
  </definedNames>
  <calcPr refMode="A1" iterate="0" iterateCount="100" iterateDelta="0.0001"/>
  <extLst>
    <ext xmlns:x15="http://schemas.microsoft.com/office/spreadsheetml/2010/11/main" uri="{D0CA8CA8-9F24-4464-BF8E-62219DCF47F9}"/>
  </extLst>
</workbook>
</file>

<file path=xl/sharedStrings.xml><?xml version="1.0" encoding="utf-8"?>
<sst xmlns="http://schemas.openxmlformats.org/spreadsheetml/2006/main" count="321" uniqueCount="321">
  <si>
    <t>site</t>
  </si>
  <si>
    <t>taxa</t>
  </si>
  <si>
    <t>FA_New</t>
  </si>
  <si>
    <t>PR_MBA</t>
  </si>
  <si>
    <t>Abrodictyum_rigidum</t>
  </si>
  <si>
    <t>Anemia_phyllitidis</t>
  </si>
  <si>
    <t>Goniopteris_paranaensis</t>
  </si>
  <si>
    <t>Lindsaea_lancea</t>
  </si>
  <si>
    <t>Olfersia_cervina</t>
  </si>
  <si>
    <t>Trichomanes_cristatum</t>
  </si>
  <si>
    <t>RS_ACP</t>
  </si>
  <si>
    <t>Adiantum_raddianum</t>
  </si>
  <si>
    <t>Asplenium_claussenii</t>
  </si>
  <si>
    <t>Ctenitis_submarginalis</t>
  </si>
  <si>
    <t>Diplazium_herbaceum</t>
  </si>
  <si>
    <t>Doryopteris_concolor</t>
  </si>
  <si>
    <t>Doryopteris_lorentzii</t>
  </si>
  <si>
    <t>Goniopteris_riograndensis</t>
  </si>
  <si>
    <t>Goniopteris_scabra</t>
  </si>
  <si>
    <t>RS_AMS</t>
  </si>
  <si>
    <t>Christella_hispidula</t>
  </si>
  <si>
    <t>Diplazium_cristatum</t>
  </si>
  <si>
    <t>Macrothelypteris_torresiana</t>
  </si>
  <si>
    <t>Pteris_deflexa</t>
  </si>
  <si>
    <t>Pteris_denticulata</t>
  </si>
  <si>
    <t>RS_ARM</t>
  </si>
  <si>
    <t>Anemia_warmingii</t>
  </si>
  <si>
    <t>Asplenium_brasiliense</t>
  </si>
  <si>
    <t>Blechnum_occidentale</t>
  </si>
  <si>
    <t>Doryopteris_pentagona</t>
  </si>
  <si>
    <t>Megalastrum_connexum</t>
  </si>
  <si>
    <t>RS_ASR</t>
  </si>
  <si>
    <t>Asplenium_inaequilaterale</t>
  </si>
  <si>
    <t>Blechnum_austrobrasilianum</t>
  </si>
  <si>
    <t>Mucura_tenera</t>
  </si>
  <si>
    <t>Didymochlaena_truncatula</t>
  </si>
  <si>
    <t>Lastreopsis_amplissima</t>
  </si>
  <si>
    <t>Megalastrum_oreocharis</t>
  </si>
  <si>
    <t>Neoblechnum_brasiliense</t>
  </si>
  <si>
    <t>RS_CAC</t>
  </si>
  <si>
    <t>Adiantopsis_chlorophylla</t>
  </si>
  <si>
    <t>Asplenium_abscissum</t>
  </si>
  <si>
    <t>Christella_dentata</t>
  </si>
  <si>
    <t>Rumohra_adiantiformis</t>
  </si>
  <si>
    <t>RS_CASS</t>
  </si>
  <si>
    <t>Amauropelta_amambayensis</t>
  </si>
  <si>
    <t>Amauropelta_decurtata</t>
  </si>
  <si>
    <t>Pityrogramma_chaerophylla</t>
  </si>
  <si>
    <t>Christella_conspersa</t>
  </si>
  <si>
    <t>Cyclosorus_interruptus</t>
  </si>
  <si>
    <t>Equisetum_giganteum</t>
  </si>
  <si>
    <t>Parablechnum_cordatum</t>
  </si>
  <si>
    <t>RS_CID_TRA</t>
  </si>
  <si>
    <t>Asplenium_serra</t>
  </si>
  <si>
    <t>Lindsaea_quadrangularis</t>
  </si>
  <si>
    <t>Pecluma_paradiseae</t>
  </si>
  <si>
    <t>Serpocaulon_latipes</t>
  </si>
  <si>
    <t>Telmatoblechnum_serrulatum</t>
  </si>
  <si>
    <t>RS_CLEO</t>
  </si>
  <si>
    <t>Adiantopsis_perfasciculata</t>
  </si>
  <si>
    <t>RS_LUC</t>
  </si>
  <si>
    <t>RS_MARI</t>
  </si>
  <si>
    <t>RS_NEST</t>
  </si>
  <si>
    <t>Adiantum_lorentzii</t>
  </si>
  <si>
    <t>RS_DP_BAN</t>
  </si>
  <si>
    <t>Goniopteris_burkartii</t>
  </si>
  <si>
    <t>Tectaria_incisa</t>
  </si>
  <si>
    <t>RS_DP_LYG</t>
  </si>
  <si>
    <t>Meniscium_serratum</t>
  </si>
  <si>
    <t>Pecluma_chnoophora</t>
  </si>
  <si>
    <t>RS_H1FG</t>
  </si>
  <si>
    <t>Amauropelta_recumbens</t>
  </si>
  <si>
    <t>Amauropelta_retusa</t>
  </si>
  <si>
    <t>Amauropelta_stierii</t>
  </si>
  <si>
    <t>Asplenium_martianum</t>
  </si>
  <si>
    <t>Blechnum_auriculatum</t>
  </si>
  <si>
    <t>Botrypus_virginianus</t>
  </si>
  <si>
    <t>Deparia_petersenii</t>
  </si>
  <si>
    <t>Histiopteris_incisa</t>
  </si>
  <si>
    <t>Polystichum_platylepis</t>
  </si>
  <si>
    <t>RS_LPB</t>
  </si>
  <si>
    <t>Asplenium_gastonis</t>
  </si>
  <si>
    <t>RS_MS_PIX</t>
  </si>
  <si>
    <t>Amauropelta_raddii</t>
  </si>
  <si>
    <t>Pecluma_robusta</t>
  </si>
  <si>
    <t>RS_PMR-FOM</t>
  </si>
  <si>
    <t>Amauropelta_opposita</t>
  </si>
  <si>
    <t>Dennstaedtia_dissecta</t>
  </si>
  <si>
    <t>Eupodium_kaulfussii</t>
  </si>
  <si>
    <t>Lindsaea_botrychioides</t>
  </si>
  <si>
    <t>RS_PPIN</t>
  </si>
  <si>
    <t>Osmunda_spectabilis</t>
  </si>
  <si>
    <t>RS_RC1</t>
  </si>
  <si>
    <t>RS_RC3</t>
  </si>
  <si>
    <t>RS_TA_CUR</t>
  </si>
  <si>
    <t>RS_TA_MICH</t>
  </si>
  <si>
    <t>RS_TAIM</t>
  </si>
  <si>
    <t>RS_TAV_BOI</t>
  </si>
  <si>
    <t>RS_TO_ITA</t>
  </si>
  <si>
    <t>RS_TU1</t>
  </si>
  <si>
    <t>Adiantum_pseudotinctum</t>
  </si>
  <si>
    <t>Amauropelta_ptarmica</t>
  </si>
  <si>
    <t>Amauropelta_rivularioides</t>
  </si>
  <si>
    <t>Blechnum_gracile</t>
  </si>
  <si>
    <t>Diplazium_turgidum</t>
  </si>
  <si>
    <t>Doryopteris_nobilis</t>
  </si>
  <si>
    <t>RS_TU2</t>
  </si>
  <si>
    <t>RS_TU3</t>
  </si>
  <si>
    <t>RS_TUR</t>
  </si>
  <si>
    <t>Parapolystichum_effusum</t>
  </si>
  <si>
    <t>SC_ATL</t>
  </si>
  <si>
    <t>SC_RES</t>
  </si>
  <si>
    <t>Pleopeltis_lepidopteris</t>
  </si>
  <si>
    <t>Pteridium_esculentum</t>
  </si>
  <si>
    <t>SC_SEA</t>
  </si>
  <si>
    <t>Asplenium_kunzeanum</t>
  </si>
  <si>
    <t>Asplenium_uniseriale</t>
  </si>
  <si>
    <t>Hymenasplenium_triquetrum</t>
  </si>
  <si>
    <t>Pteris_decurrens</t>
  </si>
  <si>
    <t>SC_URU</t>
  </si>
  <si>
    <t>Adiantum_pentadactylon</t>
  </si>
  <si>
    <t>Blechnum_polypodioides</t>
  </si>
  <si>
    <t>Pteris_brasiliensis</t>
  </si>
  <si>
    <t>Tectaria_pilosa</t>
  </si>
  <si>
    <t>plot_size</t>
  </si>
  <si>
    <t>samp_size</t>
  </si>
  <si>
    <t>Lat</t>
  </si>
  <si>
    <t>Long</t>
  </si>
  <si>
    <t>Flo_type</t>
  </si>
  <si>
    <t>prec_seas</t>
  </si>
  <si>
    <t>ann_prec</t>
  </si>
  <si>
    <t>max_temp_wam</t>
  </si>
  <si>
    <t>cec</t>
  </si>
  <si>
    <t>clay</t>
  </si>
  <si>
    <t>nitrogen</t>
  </si>
  <si>
    <t>cecuncertainty</t>
  </si>
  <si>
    <t>clayuncertainty</t>
  </si>
  <si>
    <t>nitrogenuncertainty</t>
  </si>
  <si>
    <t>ref</t>
  </si>
  <si>
    <t xml:space="preserve">Dense Rainforest</t>
  </si>
  <si>
    <t xml:space="preserve">Kozera, C. and Rodrigues, R. R. (2001) Floristic composition and phytosociological structure of the herbaceous-subshrub layer in two areas of Dense Ombrophilous Forest, Paraná, Brazil (Portuguese). Universidade Estadual de Campinas.</t>
  </si>
  <si>
    <t xml:space="preserve">Dry forest</t>
  </si>
  <si>
    <t xml:space="preserve">Graeff, V. et al. (2019) Ferns and lycophytes as a tool to evaluate environmental dissimilarity in riparian forests in southern Brazil. Revista Brasileira de Botanica, 42(3), pp. 467–476. Available at: https://doi.org/10.1007/s40415-019-00540-3.</t>
  </si>
  <si>
    <t xml:space="preserve">Araucaria Rainforest</t>
  </si>
  <si>
    <t xml:space="preserve">Diesel, S. (1991) Herbaceous/shrub phytosociological study of riparian forest in the hydrographic basin of the Rio dos Sinos (Portuguese). Pesquisas, Botânica, 42, pp. 201–257.</t>
  </si>
  <si>
    <t xml:space="preserve">Coastal woodlands</t>
  </si>
  <si>
    <t xml:space="preserve">This study</t>
  </si>
  <si>
    <t xml:space="preserve">Mallmann, I. T. and Schmitt, J. L. (2017) Evaluation of the diversity of ferns and lycophytes in Araucaria forests focusing on botanical, edaphic, and climatic parameters (Portuguese). Universidade Feevale.</t>
  </si>
  <si>
    <t xml:space="preserve">Citadini-Zanette, V. (1984) Floristic composition and phytosociology of the terrestrial herbaceous vegetation of a forest in Torres, Rio Grande do Sul, Brazil (Portuguese). Iheringia, Série Botânica, pp. 23–62.</t>
  </si>
  <si>
    <t xml:space="preserve">Blume, M. and Schmitt, J. L. (2009) Comparison of the floristic composition and community structure of lycophytes and ferns between areas of mixed ombrophilous forest and secondary forest, in southern Brazil (Portuguese). Centro Universitário Feevale.</t>
  </si>
  <si>
    <t xml:space="preserve">Silva, V. L. et al. (2019) Phytosociological contrast of ferns and lycophytes from forest fragments with different surroundings matrices in southern Brazil. Brazilian Journal of Biology, 79, pp. 495–504. doi: 10.1590/1519-6984.186077.</t>
  </si>
  <si>
    <t xml:space="preserve">Mallmann, I. T., da Silva, V. L. and Schmitt, J. L. (2016) Community structure of ferns in riparian forest: evaluation in an anthropization gradient (Portuguese). Ambiente e Agua - An Interdisciplinary Journal of Applied Science, 11. doi: 10.4136/ambi-agua.1717.</t>
  </si>
  <si>
    <t xml:space="preserve">Bauer, N. de A. (2004) Analysis of the pteridoflora in the deciduous seasonal forest of the Turvo State Park, municipality of Derrubadas, Rio Grande do Sul, Brazil (Portuguese). Universidade do Vale do Rio dos Sinos.</t>
  </si>
  <si>
    <t xml:space="preserve">Inácio, C. D. and Jarenkow, J. A. (2008) Relationships between herbaceous terrestrial synusia structure and canopy cover in seasonal forest in southern Brazil (Portuguese). Revista Brasileira de Botânica, 31. doi: 10.1590/S0100-84042008000100005.</t>
  </si>
  <si>
    <t xml:space="preserve">Carmes, A. A., Dechoum, M. de S. and Fiaschi, P. (2019) The predominant role of soil in determining species composition of fern communities in subtropical coastal forest ecosystems. Neotropical Biology and Conservation, 14, pp. 559–575. doi: 10.3897/neotropical.14.e49028.</t>
  </si>
  <si>
    <t xml:space="preserve">dos Santos, R. J. (2014) Herbaceous communities in primary and secondary Atlantic forest in southern Brazil (Portuguese). Universidade Federal do Rio Grande do Sul.</t>
  </si>
  <si>
    <t xml:space="preserve">Guislon, A. V. et al. (2016) Herbaceous vegetation structure in riparian landscapes in southern Santa Catarina, Brazil (Portuguese). Ambiente e Agua - An Interdisciplinary Journal of Applied Science, 11, p. 650. doi: 10.4136/ambi-agua.1881.</t>
  </si>
  <si>
    <t>Mean</t>
  </si>
  <si>
    <t xml:space="preserve">Standard deviation</t>
  </si>
  <si>
    <t>Reference</t>
  </si>
  <si>
    <t>Latitude</t>
  </si>
  <si>
    <t>Longitude</t>
  </si>
  <si>
    <t>PS</t>
  </si>
  <si>
    <t>SS</t>
  </si>
  <si>
    <t>Physiognomy</t>
  </si>
  <si>
    <t>DR</t>
  </si>
  <si>
    <t>DF</t>
  </si>
  <si>
    <t>MR</t>
  </si>
  <si>
    <t>WSW</t>
  </si>
  <si>
    <t>Family</t>
  </si>
  <si>
    <t>Species</t>
  </si>
  <si>
    <t xml:space="preserve">Frequency (sum)</t>
  </si>
  <si>
    <t xml:space="preserve">Frequency (mean)</t>
  </si>
  <si>
    <t xml:space="preserve">N Site</t>
  </si>
  <si>
    <t>Hymenophyllaceae</t>
  </si>
  <si>
    <r>
      <rPr>
        <i/>
        <sz val="11"/>
        <color theme="1"/>
        <rFont val="Calibri"/>
      </rPr>
      <t xml:space="preserve">Abrodictyum rigidum </t>
    </r>
    <r>
      <rPr>
        <sz val="11"/>
        <color theme="1"/>
        <rFont val="Calibri"/>
      </rPr>
      <t xml:space="preserve">(Sw.) Ebihara &amp; Dubuisson</t>
    </r>
  </si>
  <si>
    <t>Pteridaceae</t>
  </si>
  <si>
    <r>
      <rPr>
        <i/>
        <sz val="11"/>
        <color theme="1"/>
        <rFont val="Calibri"/>
      </rPr>
      <t xml:space="preserve">Adiantopsis chlorophylla </t>
    </r>
    <r>
      <rPr>
        <sz val="11"/>
        <color theme="1"/>
        <rFont val="Calibri"/>
      </rPr>
      <t xml:space="preserve">(Sw.) Fée</t>
    </r>
  </si>
  <si>
    <r>
      <rPr>
        <i/>
        <sz val="11"/>
        <color theme="1"/>
        <rFont val="Calibri"/>
      </rPr>
      <t xml:space="preserve">Adiantopsis perfasciculata </t>
    </r>
    <r>
      <rPr>
        <sz val="11"/>
        <color theme="1"/>
        <rFont val="Calibri"/>
      </rPr>
      <t>Sehnem</t>
    </r>
  </si>
  <si>
    <r>
      <rPr>
        <i/>
        <sz val="11"/>
        <color theme="1"/>
        <rFont val="Calibri"/>
      </rPr>
      <t xml:space="preserve">Adiantum lorentzii </t>
    </r>
    <r>
      <rPr>
        <sz val="11"/>
        <color theme="1"/>
        <rFont val="Calibri"/>
      </rPr>
      <t>Hieron.</t>
    </r>
  </si>
  <si>
    <r>
      <rPr>
        <i/>
        <sz val="11"/>
        <color theme="1"/>
        <rFont val="Calibri"/>
      </rPr>
      <t xml:space="preserve">Adiantum pentadactylon</t>
    </r>
    <r>
      <rPr>
        <sz val="11"/>
        <color theme="1"/>
        <rFont val="Calibri"/>
      </rPr>
      <t xml:space="preserve"> Langs. &amp; Fich.</t>
    </r>
  </si>
  <si>
    <t xml:space="preserve">Adiantum pseudotinctum Hieron.</t>
  </si>
  <si>
    <r>
      <rPr>
        <i/>
        <sz val="11"/>
        <color theme="1"/>
        <rFont val="Calibri"/>
      </rPr>
      <t xml:space="preserve">Adiantum raddianum</t>
    </r>
    <r>
      <rPr>
        <sz val="11"/>
        <color theme="1"/>
        <rFont val="Calibri"/>
      </rPr>
      <t xml:space="preserve"> C.Presl</t>
    </r>
  </si>
  <si>
    <t>Thelypteridaceae</t>
  </si>
  <si>
    <r>
      <rPr>
        <i/>
        <sz val="11"/>
        <color theme="1"/>
        <rFont val="Calibri"/>
      </rPr>
      <t xml:space="preserve">Amauropelta amambayensis</t>
    </r>
    <r>
      <rPr>
        <sz val="11"/>
        <color theme="1"/>
        <rFont val="Calibri"/>
      </rPr>
      <t xml:space="preserve"> (Christ) Salino &amp; A.R.Sm.</t>
    </r>
  </si>
  <si>
    <r>
      <rPr>
        <i/>
        <sz val="11"/>
        <color theme="1"/>
        <rFont val="Calibri"/>
      </rPr>
      <t xml:space="preserve">Amauropelta decurtata</t>
    </r>
    <r>
      <rPr>
        <sz val="11"/>
        <color theme="1"/>
        <rFont val="Calibri"/>
      </rPr>
      <t xml:space="preserve"> (Link) Salino &amp; T.E.Almeida</t>
    </r>
  </si>
  <si>
    <r>
      <rPr>
        <i/>
        <sz val="11"/>
        <color theme="1"/>
        <rFont val="Calibri"/>
      </rPr>
      <t xml:space="preserve">Amauropelta opposita</t>
    </r>
    <r>
      <rPr>
        <sz val="11"/>
        <color theme="1"/>
        <rFont val="Calibri"/>
      </rPr>
      <t xml:space="preserve"> (Vahl) Pic. Serm.</t>
    </r>
  </si>
  <si>
    <r>
      <rPr>
        <i/>
        <sz val="11"/>
        <color theme="1"/>
        <rFont val="Calibri"/>
      </rPr>
      <t xml:space="preserve">Amauropelta ptarmica</t>
    </r>
    <r>
      <rPr>
        <sz val="11"/>
        <color theme="1"/>
        <rFont val="Calibri"/>
      </rPr>
      <t xml:space="preserve"> (Kunze ex Mett. ) Pic.Serm.</t>
    </r>
  </si>
  <si>
    <r>
      <rPr>
        <i/>
        <sz val="11"/>
        <color theme="1"/>
        <rFont val="Calibri"/>
      </rPr>
      <t xml:space="preserve">Amauropelta raddii </t>
    </r>
    <r>
      <rPr>
        <sz val="11"/>
        <color theme="1"/>
        <rFont val="Calibri"/>
      </rPr>
      <t xml:space="preserve">(Rosenst.) Salino &amp; T.E.Almeida</t>
    </r>
  </si>
  <si>
    <r>
      <rPr>
        <i/>
        <sz val="11"/>
        <color theme="1"/>
        <rFont val="Calibri"/>
      </rPr>
      <t xml:space="preserve">Amauropelta recumbens</t>
    </r>
    <r>
      <rPr>
        <sz val="11"/>
        <color theme="1"/>
        <rFont val="Calibri"/>
      </rPr>
      <t xml:space="preserve"> (Rosenst.) Salino &amp; T.E.Almeida</t>
    </r>
  </si>
  <si>
    <r>
      <rPr>
        <i/>
        <sz val="11"/>
        <color theme="1"/>
        <rFont val="Calibri"/>
      </rPr>
      <t xml:space="preserve">Amauropelta retusa </t>
    </r>
    <r>
      <rPr>
        <sz val="11"/>
        <color theme="1"/>
        <rFont val="Calibri"/>
      </rPr>
      <t xml:space="preserve">(Sw.) Pic.Serm.</t>
    </r>
  </si>
  <si>
    <r>
      <rPr>
        <i/>
        <sz val="11"/>
        <color theme="1"/>
        <rFont val="Calibri"/>
      </rPr>
      <t xml:space="preserve">Amauropelta rivularioides </t>
    </r>
    <r>
      <rPr>
        <sz val="11"/>
        <color theme="1"/>
        <rFont val="Calibri"/>
      </rPr>
      <t xml:space="preserve">(Fée) Salino &amp; T.E.Almeida</t>
    </r>
  </si>
  <si>
    <r>
      <rPr>
        <i/>
        <sz val="11"/>
        <color theme="1"/>
        <rFont val="Calibri"/>
      </rPr>
      <t xml:space="preserve">Amauropelta stierii</t>
    </r>
    <r>
      <rPr>
        <sz val="11"/>
        <color theme="1"/>
        <rFont val="Calibri"/>
      </rPr>
      <t xml:space="preserve"> (Rosenst.) Salino &amp; T.E.Almeida</t>
    </r>
  </si>
  <si>
    <t>Anemiaceae</t>
  </si>
  <si>
    <r>
      <rPr>
        <i/>
        <sz val="11"/>
        <color theme="1"/>
        <rFont val="Calibri"/>
      </rPr>
      <t xml:space="preserve">Anemia phyllitidis</t>
    </r>
    <r>
      <rPr>
        <sz val="11"/>
        <color theme="1"/>
        <rFont val="Calibri"/>
      </rPr>
      <t xml:space="preserve"> (L.) Sw.</t>
    </r>
  </si>
  <si>
    <r>
      <rPr>
        <i/>
        <sz val="11"/>
        <color theme="1"/>
        <rFont val="Calibri"/>
      </rPr>
      <t xml:space="preserve">Anemia warmingii</t>
    </r>
    <r>
      <rPr>
        <sz val="11"/>
        <color theme="1"/>
        <rFont val="Calibri"/>
      </rPr>
      <t xml:space="preserve"> Prantl</t>
    </r>
  </si>
  <si>
    <t>Aspleniaceae</t>
  </si>
  <si>
    <r>
      <rPr>
        <i/>
        <sz val="11"/>
        <color theme="1"/>
        <rFont val="Calibri"/>
      </rPr>
      <t xml:space="preserve">Asplenium abscissum </t>
    </r>
    <r>
      <rPr>
        <sz val="11"/>
        <color theme="1"/>
        <rFont val="Calibri"/>
      </rPr>
      <t>Willd.</t>
    </r>
  </si>
  <si>
    <r>
      <rPr>
        <i/>
        <sz val="11"/>
        <color theme="1"/>
        <rFont val="Calibri"/>
      </rPr>
      <t xml:space="preserve">Asplenium brasiliense</t>
    </r>
    <r>
      <rPr>
        <sz val="11"/>
        <color theme="1"/>
        <rFont val="Calibri"/>
      </rPr>
      <t xml:space="preserve"> Sw.</t>
    </r>
  </si>
  <si>
    <r>
      <rPr>
        <i/>
        <sz val="11"/>
        <color theme="1"/>
        <rFont val="Calibri"/>
      </rPr>
      <t xml:space="preserve">Asplenium claussenii </t>
    </r>
    <r>
      <rPr>
        <sz val="11"/>
        <color theme="1"/>
        <rFont val="Calibri"/>
      </rPr>
      <t>Hieron.</t>
    </r>
  </si>
  <si>
    <r>
      <rPr>
        <i/>
        <sz val="11"/>
        <color theme="1"/>
        <rFont val="Calibri"/>
      </rPr>
      <t xml:space="preserve">Asplenium gastonis</t>
    </r>
    <r>
      <rPr>
        <sz val="11"/>
        <color theme="1"/>
        <rFont val="Calibri"/>
      </rPr>
      <t xml:space="preserve"> Fée</t>
    </r>
  </si>
  <si>
    <r>
      <rPr>
        <i/>
        <sz val="11"/>
        <color theme="1"/>
        <rFont val="Calibri"/>
      </rPr>
      <t xml:space="preserve">Asplenium inaequilaterale</t>
    </r>
    <r>
      <rPr>
        <sz val="11"/>
        <color theme="1"/>
        <rFont val="Calibri"/>
      </rPr>
      <t xml:space="preserve"> Willd.</t>
    </r>
  </si>
  <si>
    <r>
      <rPr>
        <i/>
        <sz val="11"/>
        <color theme="1"/>
        <rFont val="Calibri"/>
      </rPr>
      <t xml:space="preserve">Asplenium kunzeanum</t>
    </r>
    <r>
      <rPr>
        <sz val="11"/>
        <color theme="1"/>
        <rFont val="Calibri"/>
      </rPr>
      <t xml:space="preserve"> Klotzsch ex Rosenst.</t>
    </r>
  </si>
  <si>
    <r>
      <rPr>
        <i/>
        <sz val="11"/>
        <color theme="1"/>
        <rFont val="Calibri"/>
      </rPr>
      <t xml:space="preserve">Asplenium martianum</t>
    </r>
    <r>
      <rPr>
        <sz val="11"/>
        <color theme="1"/>
        <rFont val="Calibri"/>
      </rPr>
      <t xml:space="preserve"> C.Chr.</t>
    </r>
  </si>
  <si>
    <r>
      <rPr>
        <i/>
        <sz val="11"/>
        <color theme="1"/>
        <rFont val="Calibri"/>
      </rPr>
      <t xml:space="preserve">Asplenium serra</t>
    </r>
    <r>
      <rPr>
        <sz val="11"/>
        <color theme="1"/>
        <rFont val="Calibri"/>
      </rPr>
      <t xml:space="preserve"> Langsd. &amp; Fisch.</t>
    </r>
  </si>
  <si>
    <r>
      <rPr>
        <i/>
        <sz val="11"/>
        <color theme="1"/>
        <rFont val="Calibri"/>
      </rPr>
      <t xml:space="preserve">Asplenium uniseriale </t>
    </r>
    <r>
      <rPr>
        <sz val="11"/>
        <color theme="1"/>
        <rFont val="Calibri"/>
      </rPr>
      <t>Raddi</t>
    </r>
  </si>
  <si>
    <t>Blechnaceae</t>
  </si>
  <si>
    <r>
      <rPr>
        <i/>
        <sz val="11"/>
        <color theme="1"/>
        <rFont val="Calibri"/>
      </rPr>
      <t xml:space="preserve">Blechnum auriculatum </t>
    </r>
    <r>
      <rPr>
        <sz val="11"/>
        <color theme="1"/>
        <rFont val="Calibri"/>
      </rPr>
      <t>Cav.</t>
    </r>
  </si>
  <si>
    <r>
      <rPr>
        <i/>
        <sz val="11"/>
        <color theme="1"/>
        <rFont val="Calibri"/>
      </rPr>
      <t xml:space="preserve">Blechnum austrobrasilianum</t>
    </r>
    <r>
      <rPr>
        <sz val="11"/>
        <color theme="1"/>
        <rFont val="Calibri"/>
      </rPr>
      <t xml:space="preserve"> de la Sota</t>
    </r>
  </si>
  <si>
    <r>
      <rPr>
        <i/>
        <sz val="11"/>
        <color theme="1"/>
        <rFont val="Calibri"/>
      </rPr>
      <t xml:space="preserve">Blechnum gracile</t>
    </r>
    <r>
      <rPr>
        <sz val="11"/>
        <color theme="1"/>
        <rFont val="Calibri"/>
      </rPr>
      <t xml:space="preserve"> Kaulf.</t>
    </r>
  </si>
  <si>
    <r>
      <rPr>
        <i/>
        <sz val="11"/>
        <color theme="1"/>
        <rFont val="Calibri"/>
      </rPr>
      <t xml:space="preserve">Blechnum occidentale</t>
    </r>
    <r>
      <rPr>
        <sz val="11"/>
        <color theme="1"/>
        <rFont val="Calibri"/>
      </rPr>
      <t xml:space="preserve"> L.</t>
    </r>
  </si>
  <si>
    <r>
      <rPr>
        <i/>
        <sz val="11"/>
        <color theme="1"/>
        <rFont val="Calibri"/>
      </rPr>
      <t xml:space="preserve">Blechnum polypodioides </t>
    </r>
    <r>
      <rPr>
        <sz val="11"/>
        <color theme="1"/>
        <rFont val="Calibri"/>
      </rPr>
      <t>Raddi</t>
    </r>
  </si>
  <si>
    <t>Ophioglossaceae</t>
  </si>
  <si>
    <r>
      <rPr>
        <i/>
        <sz val="11"/>
        <color theme="1"/>
        <rFont val="Calibri"/>
      </rPr>
      <t xml:space="preserve">Botrypus virginianus </t>
    </r>
    <r>
      <rPr>
        <sz val="11"/>
        <color theme="1"/>
        <rFont val="Calibri"/>
      </rPr>
      <t xml:space="preserve">(L.) Michx.</t>
    </r>
  </si>
  <si>
    <r>
      <rPr>
        <i/>
        <sz val="11"/>
        <color theme="1"/>
        <rFont val="Calibri"/>
      </rPr>
      <t xml:space="preserve">Christella conspersa</t>
    </r>
    <r>
      <rPr>
        <sz val="11"/>
        <color theme="1"/>
        <rFont val="Calibri"/>
      </rPr>
      <t xml:space="preserve"> (Schrad.) Á.Löve &amp; D.Löve</t>
    </r>
  </si>
  <si>
    <r>
      <rPr>
        <i/>
        <sz val="11"/>
        <color theme="1"/>
        <rFont val="Calibri"/>
      </rPr>
      <t xml:space="preserve">Christella dentata </t>
    </r>
    <r>
      <rPr>
        <sz val="11"/>
        <color theme="1"/>
        <rFont val="Calibri"/>
      </rPr>
      <t xml:space="preserve">(Forssk.) Brownsey &amp; Jermy</t>
    </r>
  </si>
  <si>
    <r>
      <rPr>
        <i/>
        <sz val="11"/>
        <color theme="1"/>
        <rFont val="Calibri"/>
      </rPr>
      <t xml:space="preserve">Christella hispidula </t>
    </r>
    <r>
      <rPr>
        <sz val="11"/>
        <color theme="1"/>
        <rFont val="Calibri"/>
      </rPr>
      <t xml:space="preserve">(Decne.) Holttum</t>
    </r>
  </si>
  <si>
    <t>Dryopteridaceae</t>
  </si>
  <si>
    <r>
      <rPr>
        <i/>
        <sz val="11"/>
        <color theme="1"/>
        <rFont val="Calibri"/>
      </rPr>
      <t xml:space="preserve">Ctenitis submarginalis </t>
    </r>
    <r>
      <rPr>
        <sz val="11"/>
        <color theme="1"/>
        <rFont val="Calibri"/>
      </rPr>
      <t xml:space="preserve">(Langsd. &amp; Fisch.) Ching</t>
    </r>
  </si>
  <si>
    <r>
      <rPr>
        <i/>
        <sz val="11"/>
        <color theme="1"/>
        <rFont val="Calibri"/>
      </rPr>
      <t xml:space="preserve">Cyclosorus interruptus </t>
    </r>
    <r>
      <rPr>
        <sz val="11"/>
        <color theme="1"/>
        <rFont val="Calibri"/>
      </rPr>
      <t xml:space="preserve">(Willd.) H. Ito</t>
    </r>
  </si>
  <si>
    <t>Dennstaedtiaceae</t>
  </si>
  <si>
    <r>
      <rPr>
        <i/>
        <sz val="11"/>
        <color theme="1"/>
        <rFont val="Calibri"/>
      </rPr>
      <t xml:space="preserve">Dennstaedtia dissecta</t>
    </r>
    <r>
      <rPr>
        <sz val="11"/>
        <color theme="1"/>
        <rFont val="Calibri"/>
      </rPr>
      <t xml:space="preserve"> T.Moore</t>
    </r>
  </si>
  <si>
    <t>Athyriaceae</t>
  </si>
  <si>
    <r>
      <rPr>
        <i/>
        <sz val="11"/>
        <color theme="1"/>
        <rFont val="Calibri"/>
      </rPr>
      <t xml:space="preserve">Deparia petersenii</t>
    </r>
    <r>
      <rPr>
        <sz val="11"/>
        <color theme="1"/>
        <rFont val="Calibri"/>
      </rPr>
      <t xml:space="preserve"> (Kunze) M.Kato</t>
    </r>
  </si>
  <si>
    <t>Didymochlaenaceae</t>
  </si>
  <si>
    <r>
      <rPr>
        <i/>
        <sz val="11"/>
        <color theme="1"/>
        <rFont val="Calibri"/>
      </rPr>
      <t xml:space="preserve">Didymochlaena truncatula</t>
    </r>
    <r>
      <rPr>
        <sz val="11"/>
        <color theme="1"/>
        <rFont val="Calibri"/>
      </rPr>
      <t xml:space="preserve"> (Sw.) J.Sm.</t>
    </r>
  </si>
  <si>
    <r>
      <rPr>
        <i/>
        <sz val="11"/>
        <color theme="1"/>
        <rFont val="Calibri"/>
      </rPr>
      <t xml:space="preserve">Diplazium cristatum</t>
    </r>
    <r>
      <rPr>
        <sz val="11"/>
        <color theme="1"/>
        <rFont val="Calibri"/>
      </rPr>
      <t xml:space="preserve"> (Desr.) Alston</t>
    </r>
  </si>
  <si>
    <r>
      <rPr>
        <i/>
        <sz val="11"/>
        <color theme="1"/>
        <rFont val="Calibri"/>
      </rPr>
      <t xml:space="preserve">Diplazium herbaceum </t>
    </r>
    <r>
      <rPr>
        <sz val="11"/>
        <color theme="1"/>
        <rFont val="Calibri"/>
      </rPr>
      <t>Fée</t>
    </r>
  </si>
  <si>
    <r>
      <rPr>
        <i/>
        <sz val="11"/>
        <color theme="1"/>
        <rFont val="Calibri"/>
      </rPr>
      <t xml:space="preserve">Diplazium turgidum </t>
    </r>
    <r>
      <rPr>
        <sz val="11"/>
        <color theme="1"/>
        <rFont val="Calibri"/>
      </rPr>
      <t>Rosenst.</t>
    </r>
  </si>
  <si>
    <r>
      <rPr>
        <i/>
        <sz val="11"/>
        <color theme="1"/>
        <rFont val="Calibri"/>
      </rPr>
      <t xml:space="preserve">Doryopteris concolor </t>
    </r>
    <r>
      <rPr>
        <sz val="11"/>
        <color theme="1"/>
        <rFont val="Calibri"/>
      </rPr>
      <t xml:space="preserve">(Langsd. &amp; Fisch.) Kuhn &amp; Decken</t>
    </r>
  </si>
  <si>
    <r>
      <rPr>
        <i/>
        <sz val="11"/>
        <color theme="1"/>
        <rFont val="Calibri"/>
      </rPr>
      <t xml:space="preserve">Doryopteris lorentzii</t>
    </r>
    <r>
      <rPr>
        <sz val="11"/>
        <color theme="1"/>
        <rFont val="Calibri"/>
      </rPr>
      <t xml:space="preserve"> (Hieron.) Diels</t>
    </r>
  </si>
  <si>
    <r>
      <rPr>
        <i/>
        <sz val="11"/>
        <color theme="1"/>
        <rFont val="Calibri"/>
      </rPr>
      <t xml:space="preserve">Doryopteris nobilis</t>
    </r>
    <r>
      <rPr>
        <sz val="11"/>
        <color theme="1"/>
        <rFont val="Calibri"/>
      </rPr>
      <t xml:space="preserve"> (T.Moore) J. Sm. ex C. Chr.</t>
    </r>
  </si>
  <si>
    <r>
      <rPr>
        <i/>
        <sz val="11"/>
        <color theme="1"/>
        <rFont val="Calibri"/>
      </rPr>
      <t xml:space="preserve">Doryopteris pentagona</t>
    </r>
    <r>
      <rPr>
        <sz val="11"/>
        <color theme="1"/>
        <rFont val="Calibri"/>
      </rPr>
      <t xml:space="preserve"> Pic. Serm.</t>
    </r>
  </si>
  <si>
    <t>Equisetaceae</t>
  </si>
  <si>
    <r>
      <rPr>
        <i/>
        <sz val="11"/>
        <color theme="1"/>
        <rFont val="Calibri"/>
      </rPr>
      <t xml:space="preserve">Equisetum giganteum</t>
    </r>
    <r>
      <rPr>
        <sz val="11"/>
        <color theme="1"/>
        <rFont val="Calibri"/>
      </rPr>
      <t xml:space="preserve"> L.</t>
    </r>
  </si>
  <si>
    <t>Marattiaceae</t>
  </si>
  <si>
    <r>
      <rPr>
        <i/>
        <sz val="11"/>
        <color theme="1"/>
        <rFont val="Calibri"/>
      </rPr>
      <t xml:space="preserve">Eupodium kaulfussii</t>
    </r>
    <r>
      <rPr>
        <sz val="11"/>
        <color theme="1"/>
        <rFont val="Calibri"/>
      </rPr>
      <t xml:space="preserve"> (J.Sm.) J.Sm</t>
    </r>
  </si>
  <si>
    <r>
      <rPr>
        <i/>
        <sz val="11"/>
        <color theme="1"/>
        <rFont val="Calibri"/>
      </rPr>
      <t xml:space="preserve">Goniopteris burkartii</t>
    </r>
    <r>
      <rPr>
        <sz val="11"/>
        <color theme="1"/>
        <rFont val="Calibri"/>
      </rPr>
      <t xml:space="preserve"> C. Chr. ex Abbiatti</t>
    </r>
  </si>
  <si>
    <r>
      <rPr>
        <i/>
        <sz val="11"/>
        <color theme="1"/>
        <rFont val="Calibri"/>
      </rPr>
      <t xml:space="preserve">Goniopteris paranaensis </t>
    </r>
    <r>
      <rPr>
        <sz val="11"/>
        <color theme="1"/>
        <rFont val="Calibri"/>
      </rPr>
      <t xml:space="preserve">(Salino) Salino &amp; T.E. Almeida</t>
    </r>
  </si>
  <si>
    <r>
      <rPr>
        <i/>
        <sz val="11"/>
        <color theme="1"/>
        <rFont val="Calibri"/>
      </rPr>
      <t xml:space="preserve">Goniopteris riograndensis</t>
    </r>
    <r>
      <rPr>
        <sz val="11"/>
        <color theme="1"/>
        <rFont val="Calibri"/>
      </rPr>
      <t xml:space="preserve"> (Lindm.) Ching</t>
    </r>
  </si>
  <si>
    <r>
      <rPr>
        <i/>
        <sz val="11"/>
        <color theme="1"/>
        <rFont val="Calibri"/>
      </rPr>
      <t xml:space="preserve">Goniopteris scabra</t>
    </r>
    <r>
      <rPr>
        <sz val="11"/>
        <color theme="1"/>
        <rFont val="Calibri"/>
      </rPr>
      <t xml:space="preserve"> (C.Presl) Brade</t>
    </r>
  </si>
  <si>
    <r>
      <rPr>
        <i/>
        <sz val="11"/>
        <color theme="1"/>
        <rFont val="Calibri"/>
      </rPr>
      <t xml:space="preserve">Histiopteris incisa</t>
    </r>
    <r>
      <rPr>
        <sz val="11"/>
        <color theme="1"/>
        <rFont val="Calibri"/>
      </rPr>
      <t xml:space="preserve"> (Thunb.) J.Sm.</t>
    </r>
  </si>
  <si>
    <r>
      <rPr>
        <i/>
        <sz val="11"/>
        <color theme="1"/>
        <rFont val="Calibri"/>
      </rPr>
      <t xml:space="preserve">Hymenasplenium triquetrum</t>
    </r>
    <r>
      <rPr>
        <sz val="11"/>
        <color theme="1"/>
        <rFont val="Calibri"/>
      </rPr>
      <t xml:space="preserve"> (N. Murak. &amp; R.C. Moran) L. Regalado &amp; Prada</t>
    </r>
  </si>
  <si>
    <r>
      <rPr>
        <i/>
        <sz val="11"/>
        <color theme="1"/>
        <rFont val="Calibri"/>
      </rPr>
      <t xml:space="preserve">Lastreopsis amplissima</t>
    </r>
    <r>
      <rPr>
        <sz val="11"/>
        <color theme="1"/>
        <rFont val="Calibri"/>
      </rPr>
      <t xml:space="preserve"> (C.Presl) Tindale</t>
    </r>
  </si>
  <si>
    <t>Lindsaeaceae</t>
  </si>
  <si>
    <r>
      <rPr>
        <i/>
        <sz val="11"/>
        <color theme="1"/>
        <rFont val="Calibri"/>
      </rPr>
      <t xml:space="preserve">Lindsaea botrychioides </t>
    </r>
    <r>
      <rPr>
        <sz val="11"/>
        <color theme="1"/>
        <rFont val="Calibri"/>
      </rPr>
      <t>A.St.-Hil.</t>
    </r>
  </si>
  <si>
    <r>
      <rPr>
        <i/>
        <sz val="11"/>
        <color theme="1"/>
        <rFont val="Calibri"/>
      </rPr>
      <t xml:space="preserve">Lindsaea lancea</t>
    </r>
    <r>
      <rPr>
        <sz val="11"/>
        <color theme="1"/>
        <rFont val="Calibri"/>
      </rPr>
      <t xml:space="preserve"> (L.) Bedd.</t>
    </r>
  </si>
  <si>
    <r>
      <rPr>
        <i/>
        <sz val="11"/>
        <color theme="1"/>
        <rFont val="Calibri"/>
      </rPr>
      <t xml:space="preserve">Lindsaea quadrangularis</t>
    </r>
    <r>
      <rPr>
        <sz val="11"/>
        <color theme="1"/>
        <rFont val="Calibri"/>
      </rPr>
      <t xml:space="preserve"> Raddi</t>
    </r>
  </si>
  <si>
    <r>
      <rPr>
        <i/>
        <sz val="11"/>
        <color theme="1"/>
        <rFont val="Calibri"/>
      </rPr>
      <t xml:space="preserve">Macrothelypteris torresiana</t>
    </r>
    <r>
      <rPr>
        <sz val="11"/>
        <color theme="1"/>
        <rFont val="Calibri"/>
      </rPr>
      <t xml:space="preserve"> (Gaudich.) Ching</t>
    </r>
  </si>
  <si>
    <r>
      <rPr>
        <i/>
        <sz val="11"/>
        <color theme="1"/>
        <rFont val="Calibri"/>
      </rPr>
      <t xml:space="preserve">Megalastrum connexum </t>
    </r>
    <r>
      <rPr>
        <sz val="11"/>
        <color theme="1"/>
        <rFont val="Calibri"/>
      </rPr>
      <t xml:space="preserve">(Kaulf.) A.R.Sm. &amp; R.C.Moran</t>
    </r>
  </si>
  <si>
    <r>
      <rPr>
        <i/>
        <sz val="11"/>
        <color theme="1"/>
        <rFont val="Calibri"/>
      </rPr>
      <t xml:space="preserve">Megalastrum oreocharis</t>
    </r>
    <r>
      <rPr>
        <sz val="11"/>
        <color theme="1"/>
        <rFont val="Calibri"/>
      </rPr>
      <t xml:space="preserve"> (Sehnem) Salino &amp; Ponce</t>
    </r>
  </si>
  <si>
    <r>
      <rPr>
        <i/>
        <sz val="11"/>
        <color theme="1"/>
        <rFont val="Calibri"/>
      </rPr>
      <t xml:space="preserve">Meniscium serratum </t>
    </r>
    <r>
      <rPr>
        <sz val="11"/>
        <color theme="1"/>
        <rFont val="Calibri"/>
      </rPr>
      <t>Cav.</t>
    </r>
  </si>
  <si>
    <r>
      <rPr>
        <i/>
        <sz val="11"/>
        <color theme="1"/>
        <rFont val="Calibri"/>
      </rPr>
      <t xml:space="preserve">Mucura tenera</t>
    </r>
    <r>
      <rPr>
        <sz val="11"/>
        <color theme="1"/>
        <rFont val="Calibri"/>
      </rPr>
      <t xml:space="preserve"> (C. Presl) N.T.L. Pena &amp; Schwartsb.</t>
    </r>
  </si>
  <si>
    <r>
      <rPr>
        <i/>
        <sz val="11"/>
        <color theme="1"/>
        <rFont val="Calibri"/>
      </rPr>
      <t xml:space="preserve">Neoblechnum brasiliense </t>
    </r>
    <r>
      <rPr>
        <sz val="11"/>
        <color theme="1"/>
        <rFont val="Calibri"/>
      </rPr>
      <t xml:space="preserve"> (Desv.) Gasper &amp; V.A.O. Dittrich</t>
    </r>
  </si>
  <si>
    <r>
      <rPr>
        <i/>
        <sz val="11"/>
        <color theme="1"/>
        <rFont val="Calibri"/>
      </rPr>
      <t xml:space="preserve">Olfersia cervina</t>
    </r>
    <r>
      <rPr>
        <sz val="11"/>
        <color theme="1"/>
        <rFont val="Calibri"/>
      </rPr>
      <t xml:space="preserve"> (L.) Kunze</t>
    </r>
  </si>
  <si>
    <t>Osmundaceae</t>
  </si>
  <si>
    <r>
      <rPr>
        <i/>
        <sz val="11"/>
        <color theme="1"/>
        <rFont val="Calibri"/>
      </rPr>
      <t xml:space="preserve">Osmunda spectabilis</t>
    </r>
    <r>
      <rPr>
        <sz val="11"/>
        <color theme="1"/>
        <rFont val="Calibri"/>
      </rPr>
      <t xml:space="preserve"> Willd.</t>
    </r>
  </si>
  <si>
    <r>
      <rPr>
        <i/>
        <sz val="11"/>
        <color theme="1"/>
        <rFont val="Calibri"/>
      </rPr>
      <t xml:space="preserve">Parablechnum cordatum</t>
    </r>
    <r>
      <rPr>
        <sz val="11"/>
        <color theme="1"/>
        <rFont val="Calibri"/>
      </rPr>
      <t xml:space="preserve"> (Desv.) Gasper &amp; Salino</t>
    </r>
  </si>
  <si>
    <r>
      <rPr>
        <i/>
        <sz val="11"/>
        <color theme="1"/>
        <rFont val="Calibri"/>
      </rPr>
      <t xml:space="preserve">Parapolystichum effusum</t>
    </r>
    <r>
      <rPr>
        <sz val="11"/>
        <color theme="1"/>
        <rFont val="Calibri"/>
      </rPr>
      <t xml:space="preserve"> (Sw.) Ching</t>
    </r>
  </si>
  <si>
    <t>Polypodiaceae</t>
  </si>
  <si>
    <r>
      <rPr>
        <i/>
        <sz val="11"/>
        <color theme="1"/>
        <rFont val="Calibri"/>
      </rPr>
      <t xml:space="preserve">Pecluma chnoophora</t>
    </r>
    <r>
      <rPr>
        <sz val="11"/>
        <color theme="1"/>
        <rFont val="Calibri"/>
      </rPr>
      <t xml:space="preserve"> (Kunze) Salino &amp; Costa Assis</t>
    </r>
  </si>
  <si>
    <r>
      <rPr>
        <i/>
        <sz val="11"/>
        <color theme="1"/>
        <rFont val="Calibri"/>
      </rPr>
      <t xml:space="preserve">Pecluma paradiseae</t>
    </r>
    <r>
      <rPr>
        <sz val="11"/>
        <color theme="1"/>
        <rFont val="Calibri"/>
      </rPr>
      <t xml:space="preserve"> (Langsd. &amp; Fisch.) M.G.Price</t>
    </r>
  </si>
  <si>
    <r>
      <rPr>
        <i/>
        <sz val="11"/>
        <color theme="1"/>
        <rFont val="Calibri"/>
      </rPr>
      <t xml:space="preserve">Pecluma robusta</t>
    </r>
    <r>
      <rPr>
        <sz val="11"/>
        <color theme="1"/>
        <rFont val="Calibri"/>
      </rPr>
      <t xml:space="preserve"> (Fée) M.Kessler &amp; A.R.Sm.</t>
    </r>
  </si>
  <si>
    <r>
      <rPr>
        <i/>
        <sz val="11"/>
        <color theme="1"/>
        <rFont val="Calibri"/>
      </rPr>
      <t xml:space="preserve">Pityrogramma chaerophylla</t>
    </r>
    <r>
      <rPr>
        <sz val="11"/>
        <color theme="1"/>
        <rFont val="Calibri"/>
      </rPr>
      <t xml:space="preserve"> (Desv.) Domin</t>
    </r>
  </si>
  <si>
    <r>
      <rPr>
        <i/>
        <sz val="11"/>
        <color theme="1"/>
        <rFont val="Calibri"/>
      </rPr>
      <t xml:space="preserve">Pleopeltis lepidopteris </t>
    </r>
    <r>
      <rPr>
        <sz val="11"/>
        <color theme="1"/>
        <rFont val="Calibri"/>
      </rPr>
      <t xml:space="preserve">(Langsd. &amp; Fisch.) de la Sota</t>
    </r>
  </si>
  <si>
    <r>
      <rPr>
        <i/>
        <sz val="11"/>
        <color theme="1"/>
        <rFont val="Calibri"/>
      </rPr>
      <t xml:space="preserve">Polystichum platylepis</t>
    </r>
    <r>
      <rPr>
        <sz val="11"/>
        <color theme="1"/>
        <rFont val="Calibri"/>
      </rPr>
      <t xml:space="preserve"> Fée</t>
    </r>
  </si>
  <si>
    <r>
      <rPr>
        <i/>
        <sz val="11"/>
        <color theme="1"/>
        <rFont val="Calibri"/>
      </rPr>
      <t xml:space="preserve">Pteridium esculentum </t>
    </r>
    <r>
      <rPr>
        <sz val="11"/>
        <color theme="1"/>
        <rFont val="Calibri"/>
      </rPr>
      <t xml:space="preserve">(G. Forst.) Cockayne</t>
    </r>
  </si>
  <si>
    <r>
      <rPr>
        <i/>
        <sz val="11"/>
        <color theme="1"/>
        <rFont val="Calibri"/>
      </rPr>
      <t xml:space="preserve">Pteris brasiliensis</t>
    </r>
    <r>
      <rPr>
        <sz val="11"/>
        <color theme="1"/>
        <rFont val="Calibri"/>
      </rPr>
      <t xml:space="preserve"> Raddi</t>
    </r>
  </si>
  <si>
    <r>
      <rPr>
        <i/>
        <sz val="11"/>
        <color theme="1"/>
        <rFont val="Calibri"/>
      </rPr>
      <t xml:space="preserve">Pteris decurrens</t>
    </r>
    <r>
      <rPr>
        <sz val="11"/>
        <color theme="1"/>
        <rFont val="Calibri"/>
      </rPr>
      <t xml:space="preserve"> C.Presl</t>
    </r>
  </si>
  <si>
    <r>
      <rPr>
        <i/>
        <sz val="11"/>
        <color theme="1"/>
        <rFont val="Calibri"/>
      </rPr>
      <t xml:space="preserve">Pteris deflexa</t>
    </r>
    <r>
      <rPr>
        <sz val="11"/>
        <color theme="1"/>
        <rFont val="Calibri"/>
      </rPr>
      <t xml:space="preserve"> Link</t>
    </r>
  </si>
  <si>
    <r>
      <rPr>
        <i/>
        <sz val="11"/>
        <color theme="1"/>
        <rFont val="Calibri"/>
      </rPr>
      <t xml:space="preserve">Pteris denticulata </t>
    </r>
    <r>
      <rPr>
        <sz val="11"/>
        <color theme="1"/>
        <rFont val="Calibri"/>
      </rPr>
      <t>Sw.</t>
    </r>
  </si>
  <si>
    <r>
      <rPr>
        <i/>
        <sz val="11"/>
        <color theme="1"/>
        <rFont val="Calibri"/>
      </rPr>
      <t xml:space="preserve">Rumohra adiantiformis</t>
    </r>
    <r>
      <rPr>
        <sz val="11"/>
        <color theme="1"/>
        <rFont val="Calibri"/>
      </rPr>
      <t xml:space="preserve"> (G.Forst.) Ching</t>
    </r>
  </si>
  <si>
    <r>
      <rPr>
        <i/>
        <sz val="11"/>
        <color theme="1"/>
        <rFont val="Calibri"/>
      </rPr>
      <t xml:space="preserve">Serpocaulon latipes </t>
    </r>
    <r>
      <rPr>
        <sz val="11"/>
        <color theme="1"/>
        <rFont val="Calibri"/>
      </rPr>
      <t xml:space="preserve">(Langsd. &amp; Fisch.) A.R. Sm.</t>
    </r>
  </si>
  <si>
    <t>Tectariaceae</t>
  </si>
  <si>
    <r>
      <rPr>
        <i/>
        <sz val="11"/>
        <color theme="1"/>
        <rFont val="Calibri"/>
      </rPr>
      <t xml:space="preserve">Tectaria incisa</t>
    </r>
    <r>
      <rPr>
        <sz val="11"/>
        <color theme="1"/>
        <rFont val="Calibri"/>
      </rPr>
      <t xml:space="preserve"> Cav.</t>
    </r>
  </si>
  <si>
    <r>
      <rPr>
        <i/>
        <sz val="11"/>
        <color theme="1"/>
        <rFont val="Calibri"/>
      </rPr>
      <t xml:space="preserve">Tectaria pilosa </t>
    </r>
    <r>
      <rPr>
        <sz val="11"/>
        <color theme="1"/>
        <rFont val="Calibri"/>
      </rPr>
      <t xml:space="preserve">(Fée) R.C.Moran</t>
    </r>
  </si>
  <si>
    <r>
      <rPr>
        <i/>
        <sz val="11"/>
        <color theme="1"/>
        <rFont val="Calibri"/>
      </rPr>
      <t xml:space="preserve">Telmatoblechnum serrulatum </t>
    </r>
    <r>
      <rPr>
        <sz val="11"/>
        <color theme="1"/>
        <rFont val="Calibri"/>
      </rPr>
      <t xml:space="preserve">(Rich.) Perrie, D.J. Ohlsen &amp; Brownsey</t>
    </r>
  </si>
  <si>
    <r>
      <rPr>
        <i/>
        <sz val="11"/>
        <color theme="1"/>
        <rFont val="Calibri"/>
      </rPr>
      <t xml:space="preserve">Trichomanes cristatum</t>
    </r>
    <r>
      <rPr>
        <sz val="11"/>
        <color theme="1"/>
        <rFont val="Calibri"/>
      </rPr>
      <t xml:space="preserve"> Kaulf.</t>
    </r>
  </si>
  <si>
    <t>Collector</t>
  </si>
  <si>
    <t xml:space="preserve">Herbarium Voucher</t>
  </si>
  <si>
    <t xml:space="preserve">Gonzatti, F.</t>
  </si>
  <si>
    <t xml:space="preserve">HUCS 41129 </t>
  </si>
  <si>
    <t xml:space="preserve">HUCS 41463</t>
  </si>
  <si>
    <t xml:space="preserve">Gonzatti, F.; Machado, D. da S.</t>
  </si>
  <si>
    <t xml:space="preserve">ICN 176736; ICN 214650</t>
  </si>
  <si>
    <t xml:space="preserve">HUCS 40843</t>
  </si>
  <si>
    <t xml:space="preserve">HUCS 41123</t>
  </si>
  <si>
    <t xml:space="preserve">HUCS 41114; ICN 214652</t>
  </si>
  <si>
    <t xml:space="preserve">HUCS 41083</t>
  </si>
  <si>
    <t xml:space="preserve">HUCS 41130</t>
  </si>
  <si>
    <t xml:space="preserve">HUCS 41117</t>
  </si>
  <si>
    <t xml:space="preserve">HUCS 40861</t>
  </si>
  <si>
    <t xml:space="preserve">HUCS 40948 </t>
  </si>
  <si>
    <t xml:space="preserve">HUCS 40791 </t>
  </si>
  <si>
    <t xml:space="preserve">HUCS 41069</t>
  </si>
  <si>
    <t xml:space="preserve">HUCS 40884</t>
  </si>
  <si>
    <t xml:space="preserve">HUCS 41510 </t>
  </si>
  <si>
    <r>
      <rPr>
        <i/>
        <sz val="11"/>
        <color theme="1"/>
        <rFont val="Calibri"/>
      </rPr>
      <t xml:space="preserve">Pecluma chnoophora (Kunze) </t>
    </r>
    <r>
      <rPr>
        <sz val="11"/>
        <color theme="1"/>
        <rFont val="Calibri"/>
      </rPr>
      <t xml:space="preserve">Salino &amp; Costa Assis</t>
    </r>
  </si>
  <si>
    <t xml:space="preserve">HUCS 41540</t>
  </si>
  <si>
    <t xml:space="preserve">Pecluma paradiseae (Langsd. &amp; Fisch.) M.G. Prince</t>
  </si>
  <si>
    <t xml:space="preserve">HUCS 41543</t>
  </si>
  <si>
    <t xml:space="preserve">Machado, D. da S.</t>
  </si>
  <si>
    <t xml:space="preserve">ICN 214647</t>
  </si>
  <si>
    <t xml:space="preserve">HUCS 41452</t>
  </si>
  <si>
    <t xml:space="preserve">ICN 161566</t>
  </si>
  <si>
    <t xml:space="preserve">HUCS 40930</t>
  </si>
  <si>
    <t xml:space="preserve">Telmatoblechnum serrulatum (Rich.) Perrie, D.J. Ohlsen &amp; Brownsey</t>
  </si>
  <si>
    <t xml:space="preserve">HUCS 41469 </t>
  </si>
  <si>
    <t xml:space="preserve">ICN  214659</t>
  </si>
  <si>
    <t xml:space="preserve">ICN 214656</t>
  </si>
  <si>
    <t xml:space="preserve">ICN 214649</t>
  </si>
  <si>
    <t xml:space="preserve">ICN 214657</t>
  </si>
  <si>
    <t xml:space="preserve">ICN 214660</t>
  </si>
  <si>
    <t xml:space="preserve">ICN 214651</t>
  </si>
  <si>
    <t xml:space="preserve">ICN 214653</t>
  </si>
  <si>
    <t xml:space="preserve">ICN 214646</t>
  </si>
  <si>
    <t xml:space="preserve">ICN 214654</t>
  </si>
  <si>
    <t xml:space="preserve">ICN 214655</t>
  </si>
  <si>
    <t xml:space="preserve">ICN 214658</t>
  </si>
  <si>
    <t xml:space="preserve">Machado, L.</t>
  </si>
  <si>
    <t xml:space="preserve">HUCS 40935</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</si>
</sst>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3">
    <numFmt numFmtId="164" formatCode="0.00000"/>
    <numFmt numFmtId="165" formatCode="#,##0.00000"/>
    <numFmt numFmtId="166" formatCode="0.0"/>
  </numFmts>
  <fonts count="9">
    <font>
      <sz val="11.000000"/>
      <color theme="1"/>
      <name val="Calibri"/>
    </font>
    <font>
      <sz val="10.000000"/>
      <name val="Arial"/>
    </font>
    <font>
      <sz val="11.000000"/>
      <color indexed="65"/>
      <name val="Calibri"/>
    </font>
    <font>
      <sz val="11.000000"/>
      <color rgb="FF9C6500"/>
      <name val="Calibri"/>
    </font>
    <font>
      <b/>
      <sz val="11.000000"/>
      <name val="Calibri"/>
    </font>
    <font>
      <sz val="11.000000"/>
      <name val="Calibri"/>
    </font>
    <font>
      <sz val="11.000000"/>
      <name val="Arial"/>
    </font>
    <font>
      <sz val="11.000000"/>
      <color theme="1"/>
      <name val="Calibri"/>
      <scheme val="minor"/>
    </font>
    <font>
      <i/>
      <sz val="11.000000"/>
      <color theme="1"/>
      <name val="Calibri"/>
    </font>
  </fonts>
  <fills count="10">
    <fill>
      <patternFill patternType="none"/>
    </fill>
    <fill>
      <patternFill patternType="gray125"/>
    </fill>
    <fill>
      <patternFill patternType="solid">
        <fgColor rgb="FF8FAADC"/>
        <bgColor rgb="FF9DC3E6"/>
      </patternFill>
    </fill>
    <fill>
      <patternFill patternType="solid">
        <fgColor rgb="FFF4B183"/>
        <bgColor rgb="FFFFD966"/>
      </patternFill>
    </fill>
    <fill>
      <patternFill patternType="solid">
        <fgColor rgb="FFC9C9C9"/>
        <bgColor rgb="FF9DC3E6"/>
      </patternFill>
    </fill>
    <fill>
      <patternFill patternType="solid">
        <fgColor rgb="FFFFD966"/>
        <bgColor rgb="FFFFEB9C"/>
      </patternFill>
    </fill>
    <fill>
      <patternFill patternType="solid">
        <fgColor rgb="FF9DC3E6"/>
        <bgColor rgb="FF8FAADC"/>
      </patternFill>
    </fill>
    <fill>
      <patternFill patternType="solid">
        <fgColor rgb="FFA9D18E"/>
        <bgColor rgb="FFC9C9C9"/>
      </patternFill>
    </fill>
    <fill>
      <patternFill patternType="solid">
        <fgColor rgb="FFFFEB9C"/>
        <bgColor indexed="26"/>
      </patternFill>
    </fill>
    <fill>
      <patternFill patternType="solid">
        <fgColor indexed="5"/>
        <bgColor indexed="5"/>
      </patternFill>
    </fill>
  </fills>
  <borders count="1">
    <border>
      <left style="none"/>
      <right style="none"/>
      <top style="none"/>
      <bottom style="none"/>
      <diagonal style="none"/>
    </border>
  </borders>
  <cellStyleXfs count="20">
    <xf fontId="0" fillId="0" borderId="0" numFmtId="0" applyNumberFormat="1" applyFont="1" applyFill="1" applyBorder="1" applyProtection="1">
      <protection hidden="0" locked="1"/>
    </xf>
    <xf fontId="1" fillId="0" borderId="0" numFmtId="43" applyNumberFormat="1" applyFont="1" applyFill="1" applyBorder="0" applyProtection="0"/>
    <xf fontId="1" fillId="0" borderId="0" numFmtId="41" applyNumberFormat="1" applyFont="1" applyFill="1" applyBorder="0" applyProtection="0"/>
    <xf fontId="1" fillId="0" borderId="0" numFmtId="44" applyNumberFormat="1" applyFont="1" applyFill="1" applyBorder="0" applyProtection="0"/>
    <xf fontId="1" fillId="0" borderId="0" numFmtId="42" applyNumberFormat="1" applyFont="1" applyFill="1" applyBorder="0" applyProtection="0"/>
    <xf fontId="1" fillId="0" borderId="0" numFmtId="9" applyNumberFormat="1" applyFont="1" applyFill="1" applyBorder="0" applyProtection="0"/>
    <xf fontId="2" fillId="2" borderId="0" numFmtId="0" applyNumberFormat="1" applyFont="1" applyFill="1" applyBorder="0" applyProtection="1">
      <protection hidden="0" locked="1"/>
    </xf>
    <xf fontId="2" fillId="3" borderId="0" numFmtId="0" applyNumberFormat="1" applyFont="1" applyFill="1" applyBorder="0" applyProtection="1">
      <protection hidden="0" locked="1"/>
    </xf>
    <xf fontId="2" fillId="4" borderId="0" numFmtId="0" applyNumberFormat="1" applyFont="1" applyFill="1" applyBorder="0" applyProtection="1">
      <protection hidden="0" locked="1"/>
    </xf>
    <xf fontId="2" fillId="5" borderId="0" numFmtId="0" applyNumberFormat="1" applyFont="1" applyFill="1" applyBorder="0" applyProtection="1">
      <protection hidden="0" locked="1"/>
    </xf>
    <xf fontId="2" fillId="6" borderId="0" numFmtId="0" applyNumberFormat="1" applyFont="1" applyFill="1" applyBorder="0" applyProtection="1">
      <protection hidden="0" locked="1"/>
    </xf>
    <xf fontId="2" fillId="7" borderId="0" numFmtId="0" applyNumberFormat="1" applyFont="1" applyFill="1" applyBorder="0" applyProtection="1">
      <protection hidden="0" locked="1"/>
    </xf>
    <xf fontId="0" fillId="0" borderId="0" numFmtId="0" applyNumberFormat="1" applyFont="1" applyFill="1" applyBorder="0" applyProtection="0"/>
    <xf fontId="0" fillId="0" borderId="0" numFmtId="0" applyNumberFormat="1" applyFont="1" applyFill="1" applyBorder="0" applyProtection="0"/>
    <xf fontId="0" fillId="0" borderId="0" numFmtId="0" applyNumberFormat="1" applyFont="1" applyFill="1" applyBorder="0" applyProtection="0">
      <alignment horizontal="left"/>
    </xf>
    <xf fontId="3" fillId="8" borderId="0" numFmtId="0" applyNumberFormat="1" applyFont="1" applyFill="1" applyBorder="0" applyProtection="1">
      <protection hidden="0" locked="1"/>
    </xf>
    <xf fontId="1" fillId="0" borderId="0" numFmtId="0" applyNumberFormat="1" applyFont="1" applyFill="1" applyBorder="1" applyProtection="1">
      <protection hidden="0" locked="1"/>
    </xf>
    <xf fontId="4" fillId="0" borderId="0" numFmtId="0" applyNumberFormat="1" applyFont="1" applyFill="1" applyBorder="0" applyProtection="0"/>
    <xf fontId="4" fillId="0" borderId="0" numFmtId="0" applyNumberFormat="1" applyFont="1" applyFill="1" applyBorder="0" applyProtection="0">
      <alignment horizontal="left"/>
    </xf>
    <xf fontId="0" fillId="0" borderId="0" numFmtId="0" applyNumberFormat="1" applyFont="1" applyFill="1" applyBorder="0" applyProtection="0"/>
  </cellStyleXfs>
  <cellXfs count="15">
    <xf fontId="0" fillId="0" borderId="0" numFmtId="0" xfId="0" applyProtection="0">
      <protection hidden="0" locked="1"/>
    </xf>
    <xf fontId="0" fillId="0" borderId="0" numFmtId="0" xfId="0" applyProtection="1">
      <protection hidden="0" locked="1"/>
    </xf>
    <xf fontId="5" fillId="0" borderId="0" numFmtId="0" xfId="0" applyFont="1" applyProtection="1">
      <protection hidden="0" locked="1"/>
    </xf>
    <xf fontId="0" fillId="0" borderId="0" numFmtId="164" xfId="0" applyNumberFormat="1" applyProtection="1">
      <protection hidden="0" locked="1"/>
    </xf>
    <xf fontId="0" fillId="0" borderId="0" numFmtId="4" xfId="0" applyNumberFormat="1" applyProtection="1">
      <protection hidden="0" locked="1"/>
    </xf>
    <xf fontId="0" fillId="0" borderId="0" numFmtId="2" xfId="0" applyNumberFormat="1" applyProtection="1">
      <protection hidden="0" locked="1"/>
    </xf>
    <xf fontId="0" fillId="0" borderId="0" numFmtId="165" xfId="0" applyNumberFormat="1" applyProtection="1">
      <protection hidden="0" locked="1"/>
    </xf>
    <xf fontId="1" fillId="0" borderId="0" numFmtId="164" xfId="0" applyNumberFormat="1" applyFont="1" applyProtection="1">
      <protection hidden="0" locked="1"/>
    </xf>
    <xf fontId="6" fillId="0" borderId="0" numFmtId="2" xfId="0" applyNumberFormat="1" applyFont="1" applyProtection="1">
      <protection hidden="0" locked="1"/>
    </xf>
    <xf fontId="7" fillId="0" borderId="0" numFmtId="166" xfId="0" applyNumberFormat="1" applyFont="1" applyProtection="1"/>
    <xf fontId="0" fillId="0" borderId="0" numFmtId="0" xfId="0" applyProtection="1">
      <protection hidden="0" locked="1"/>
    </xf>
    <xf fontId="8" fillId="0" borderId="0" numFmtId="0" xfId="0" applyFont="1" applyProtection="1">
      <protection hidden="0" locked="1"/>
    </xf>
    <xf fontId="7" fillId="9" borderId="0" numFmtId="166" xfId="0" applyNumberFormat="1" applyFont="1" applyFill="1" applyProtection="1"/>
    <xf fontId="7" fillId="9" borderId="0" numFmtId="2" xfId="0" applyNumberFormat="1" applyFont="1" applyFill="1" applyProtection="1"/>
    <xf fontId="7" fillId="9" borderId="0" numFmtId="0" xfId="0" applyFont="1" applyFill="1" applyProtection="1"/>
  </cellXfs>
  <cellStyles count="20">
    <cellStyle name="Normal" xfId="0" builtinId="0"/>
    <cellStyle name="Comma" xfId="1" builtinId="3"/>
    <cellStyle name="Comma [0]" xfId="2" builtinId="6"/>
    <cellStyle name="Currency" xfId="3" builtinId="4"/>
    <cellStyle name="Currency [0]" xfId="4" builtinId="7"/>
    <cellStyle name="Percent" xfId="5" builtinId="5"/>
    <cellStyle name="60% - Ênfase1 2" xfId="6"/>
    <cellStyle name="60% - Ênfase2 2" xfId="7"/>
    <cellStyle name="60% - Ênfase3 2" xfId="8"/>
    <cellStyle name="60% - Ênfase4 2" xfId="9"/>
    <cellStyle name="60% - Ênfase5 2" xfId="10"/>
    <cellStyle name="60% - Ênfase6 2" xfId="11"/>
    <cellStyle name="Campo da tabela dinâmica" xfId="12"/>
    <cellStyle name="Canto da tabela dinâmica" xfId="13"/>
    <cellStyle name="Categoria da tabela dinâmica" xfId="14"/>
    <cellStyle name="Neutro 2" xfId="15"/>
    <cellStyle name="Normal 2" xfId="16"/>
    <cellStyle name="Resultado da tabela dinâmica" xfId="17"/>
    <cellStyle name="Título da tabela dinâmica" xfId="18"/>
    <cellStyle name="Valor da tabela dinâmica" xfId="1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haredStrings" Target="sharedStrings.xml"/><Relationship  Id="rId9" Type="http://schemas.openxmlformats.org/officeDocument/2006/relationships/styles" Target="styles.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na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1" showRowColHeaders="1" showZeros="1" rightToLeft="0" view="normal" topLeftCell="A1" zoomScale="120" workbookViewId="0">
      <pane ySplit="1" topLeftCell="A2" activePane="bottomLeft" state="frozen"/>
      <selection activeCell="D355" activeCellId="0" sqref="D355"/>
    </sheetView>
  </sheetViews>
  <sheetFormatPr defaultColWidth="11.53515625" defaultRowHeight="14.25" customHeight="1"/>
  <cols>
    <col customWidth="1" min="1" max="1" style="1" width="13.15"/>
    <col customWidth="1" min="2" max="2" style="1" width="29.140000000000001"/>
    <col customWidth="1" min="3" max="3" style="1" width="12.57"/>
    <col customWidth="0" min="4" max="16378" style="1" width="11.529999999999999"/>
    <col customWidth="1" min="16379" max="16383" style="1" width="10.16"/>
    <col customWidth="0" min="16384" max="16384" style="1" width="11.529999999999999"/>
  </cols>
  <sheetData>
    <row r="1" ht="14.25">
      <c r="A1" s="1" t="s">
        <v>0</v>
      </c>
      <c r="B1" s="1" t="s">
        <v>1</v>
      </c>
      <c r="C1" s="1" t="s">
        <v>2</v>
      </c>
    </row>
    <row r="2" ht="14.25">
      <c r="A2" s="1" t="s">
        <v>3</v>
      </c>
      <c r="B2" s="1" t="s">
        <v>4</v>
      </c>
      <c r="C2" s="1">
        <v>6.6699999999999999</v>
      </c>
    </row>
    <row r="3" ht="14.25">
      <c r="A3" s="1" t="s">
        <v>3</v>
      </c>
      <c r="B3" s="1" t="s">
        <v>5</v>
      </c>
      <c r="C3" s="1">
        <v>35.829999999999998</v>
      </c>
    </row>
    <row r="4" ht="14.25">
      <c r="A4" s="1" t="s">
        <v>3</v>
      </c>
      <c r="B4" s="1" t="s">
        <v>6</v>
      </c>
      <c r="C4" s="1">
        <v>20</v>
      </c>
    </row>
    <row r="5" ht="14.25">
      <c r="A5" s="1" t="s">
        <v>3</v>
      </c>
      <c r="B5" s="1" t="s">
        <v>7</v>
      </c>
      <c r="C5" s="1">
        <v>39.170000000000002</v>
      </c>
    </row>
    <row r="6" ht="14.25">
      <c r="A6" s="1" t="s">
        <v>3</v>
      </c>
      <c r="B6" s="1" t="s">
        <v>8</v>
      </c>
      <c r="C6" s="1">
        <v>14.17</v>
      </c>
    </row>
    <row r="7" ht="14.25">
      <c r="A7" s="1" t="s">
        <v>3</v>
      </c>
      <c r="B7" s="1" t="s">
        <v>9</v>
      </c>
      <c r="C7" s="1">
        <v>0.82999999999999996</v>
      </c>
    </row>
    <row r="8" ht="14.25">
      <c r="A8" s="1" t="s">
        <v>10</v>
      </c>
      <c r="B8" s="1" t="s">
        <v>11</v>
      </c>
      <c r="C8" s="1">
        <v>30</v>
      </c>
    </row>
    <row r="9" ht="14.25">
      <c r="A9" s="1" t="s">
        <v>10</v>
      </c>
      <c r="B9" s="1" t="s">
        <v>5</v>
      </c>
      <c r="C9" s="1">
        <v>80</v>
      </c>
    </row>
    <row r="10" ht="14.25">
      <c r="A10" s="1" t="s">
        <v>10</v>
      </c>
      <c r="B10" s="1" t="s">
        <v>12</v>
      </c>
      <c r="C10" s="1">
        <v>60</v>
      </c>
    </row>
    <row r="11" ht="14.25">
      <c r="A11" s="1" t="s">
        <v>10</v>
      </c>
      <c r="B11" s="1" t="s">
        <v>13</v>
      </c>
      <c r="C11" s="1">
        <v>100</v>
      </c>
    </row>
    <row r="12" ht="14.25">
      <c r="A12" s="1" t="s">
        <v>10</v>
      </c>
      <c r="B12" s="1" t="s">
        <v>14</v>
      </c>
      <c r="C12" s="1">
        <v>50</v>
      </c>
    </row>
    <row r="13" ht="14.25">
      <c r="A13" s="1" t="s">
        <v>10</v>
      </c>
      <c r="B13" s="1" t="s">
        <v>15</v>
      </c>
      <c r="C13" s="1">
        <v>70</v>
      </c>
    </row>
    <row r="14" ht="14.25">
      <c r="A14" s="1" t="s">
        <v>10</v>
      </c>
      <c r="B14" s="1" t="s">
        <v>16</v>
      </c>
      <c r="C14" s="1">
        <v>30</v>
      </c>
    </row>
    <row r="15" ht="14.25">
      <c r="A15" s="1" t="s">
        <v>10</v>
      </c>
      <c r="B15" s="1" t="s">
        <v>17</v>
      </c>
      <c r="C15" s="1">
        <v>50</v>
      </c>
    </row>
    <row r="16" ht="14.25">
      <c r="A16" s="1" t="s">
        <v>10</v>
      </c>
      <c r="B16" s="1" t="s">
        <v>18</v>
      </c>
      <c r="C16" s="1">
        <v>20</v>
      </c>
    </row>
    <row r="17" ht="14.25">
      <c r="A17" s="1" t="s">
        <v>19</v>
      </c>
      <c r="B17" s="1" t="s">
        <v>5</v>
      </c>
      <c r="C17" s="1">
        <v>60</v>
      </c>
    </row>
    <row r="18" ht="14.25">
      <c r="A18" s="1" t="s">
        <v>19</v>
      </c>
      <c r="B18" s="1" t="s">
        <v>12</v>
      </c>
      <c r="C18" s="1">
        <v>10</v>
      </c>
    </row>
    <row r="19" ht="14.25">
      <c r="A19" s="1" t="s">
        <v>19</v>
      </c>
      <c r="B19" s="1" t="s">
        <v>20</v>
      </c>
      <c r="C19" s="1">
        <v>30</v>
      </c>
    </row>
    <row r="20" ht="14.25">
      <c r="A20" s="1" t="s">
        <v>19</v>
      </c>
      <c r="B20" s="1" t="s">
        <v>13</v>
      </c>
      <c r="C20" s="1">
        <v>50</v>
      </c>
    </row>
    <row r="21" ht="14.25">
      <c r="A21" s="1" t="s">
        <v>19</v>
      </c>
      <c r="B21" s="1" t="s">
        <v>21</v>
      </c>
      <c r="C21" s="1">
        <v>40</v>
      </c>
    </row>
    <row r="22" ht="14.25">
      <c r="A22" s="1" t="s">
        <v>19</v>
      </c>
      <c r="B22" s="1" t="s">
        <v>14</v>
      </c>
      <c r="C22" s="1">
        <v>30</v>
      </c>
    </row>
    <row r="23" ht="14.25">
      <c r="A23" s="1" t="s">
        <v>19</v>
      </c>
      <c r="B23" s="1" t="s">
        <v>15</v>
      </c>
      <c r="C23" s="1">
        <v>30</v>
      </c>
    </row>
    <row r="24" ht="14.25">
      <c r="A24" s="1" t="s">
        <v>19</v>
      </c>
      <c r="B24" s="1" t="s">
        <v>18</v>
      </c>
      <c r="C24" s="1">
        <v>90</v>
      </c>
    </row>
    <row r="25" ht="14.25">
      <c r="A25" s="1" t="s">
        <v>19</v>
      </c>
      <c r="B25" s="1" t="s">
        <v>22</v>
      </c>
      <c r="C25" s="1">
        <v>20</v>
      </c>
    </row>
    <row r="26" ht="14.25">
      <c r="A26" s="1" t="s">
        <v>19</v>
      </c>
      <c r="B26" s="1" t="s">
        <v>23</v>
      </c>
      <c r="C26" s="1">
        <v>30</v>
      </c>
    </row>
    <row r="27" ht="14.25">
      <c r="A27" s="1" t="s">
        <v>19</v>
      </c>
      <c r="B27" s="1" t="s">
        <v>24</v>
      </c>
      <c r="C27" s="1">
        <v>40</v>
      </c>
    </row>
    <row r="28" ht="14.25">
      <c r="A28" s="1" t="s">
        <v>25</v>
      </c>
      <c r="B28" s="1" t="s">
        <v>11</v>
      </c>
      <c r="C28" s="1">
        <v>12.5</v>
      </c>
    </row>
    <row r="29" ht="14.25">
      <c r="A29" s="1" t="s">
        <v>25</v>
      </c>
      <c r="B29" s="1" t="s">
        <v>5</v>
      </c>
      <c r="C29" s="1">
        <v>25</v>
      </c>
    </row>
    <row r="30" ht="14.25">
      <c r="A30" s="1" t="s">
        <v>25</v>
      </c>
      <c r="B30" s="1" t="s">
        <v>26</v>
      </c>
      <c r="C30" s="1">
        <v>20</v>
      </c>
    </row>
    <row r="31" ht="14.25">
      <c r="A31" s="1" t="s">
        <v>25</v>
      </c>
      <c r="B31" s="1" t="s">
        <v>27</v>
      </c>
      <c r="C31" s="1">
        <v>33.299999999999997</v>
      </c>
    </row>
    <row r="32" ht="14.25">
      <c r="A32" s="1" t="s">
        <v>25</v>
      </c>
      <c r="B32" s="1" t="s">
        <v>12</v>
      </c>
      <c r="C32" s="1">
        <v>8.3000000000000007</v>
      </c>
    </row>
    <row r="33" ht="14.25">
      <c r="A33" s="1" t="s">
        <v>25</v>
      </c>
      <c r="B33" s="1" t="s">
        <v>28</v>
      </c>
      <c r="C33" s="1">
        <v>4.2000000000000002</v>
      </c>
    </row>
    <row r="34" ht="14.25">
      <c r="A34" s="1" t="s">
        <v>25</v>
      </c>
      <c r="B34" s="1" t="s">
        <v>21</v>
      </c>
      <c r="C34" s="1">
        <v>50</v>
      </c>
    </row>
    <row r="35" ht="14.25">
      <c r="A35" s="1" t="s">
        <v>25</v>
      </c>
      <c r="B35" s="1" t="s">
        <v>29</v>
      </c>
      <c r="C35" s="1">
        <v>4.2000000000000002</v>
      </c>
    </row>
    <row r="36" ht="14.25">
      <c r="A36" s="1" t="s">
        <v>25</v>
      </c>
      <c r="B36" s="1" t="s">
        <v>18</v>
      </c>
      <c r="C36" s="1">
        <v>75</v>
      </c>
    </row>
    <row r="37" ht="14.25">
      <c r="A37" s="1" t="s">
        <v>25</v>
      </c>
      <c r="B37" s="1" t="s">
        <v>30</v>
      </c>
      <c r="C37" s="1">
        <v>25</v>
      </c>
    </row>
    <row r="38" ht="14.25">
      <c r="A38" s="1" t="s">
        <v>25</v>
      </c>
      <c r="B38" s="1" t="s">
        <v>23</v>
      </c>
      <c r="C38" s="1">
        <v>16.699999999999999</v>
      </c>
    </row>
    <row r="39" ht="14.25">
      <c r="A39" s="1" t="s">
        <v>25</v>
      </c>
      <c r="B39" s="1" t="s">
        <v>24</v>
      </c>
      <c r="C39" s="1">
        <v>8.3000000000000007</v>
      </c>
    </row>
    <row r="40" ht="14.25">
      <c r="A40" s="1" t="s">
        <v>31</v>
      </c>
      <c r="B40" s="1" t="s">
        <v>5</v>
      </c>
      <c r="C40" s="1">
        <v>30</v>
      </c>
    </row>
    <row r="41" ht="14.25">
      <c r="A41" s="1" t="s">
        <v>31</v>
      </c>
      <c r="B41" s="2" t="s">
        <v>32</v>
      </c>
      <c r="C41" s="1">
        <v>20</v>
      </c>
    </row>
    <row r="42" ht="14.25">
      <c r="A42" s="1" t="s">
        <v>31</v>
      </c>
      <c r="B42" s="1" t="s">
        <v>33</v>
      </c>
      <c r="C42" s="1">
        <v>30</v>
      </c>
    </row>
    <row r="43" ht="14.25">
      <c r="A43" s="1" t="s">
        <v>31</v>
      </c>
      <c r="B43" s="1" t="s">
        <v>20</v>
      </c>
      <c r="C43" s="1">
        <v>30</v>
      </c>
    </row>
    <row r="44" ht="14.25">
      <c r="A44" s="1" t="s">
        <v>31</v>
      </c>
      <c r="B44" s="1" t="s">
        <v>13</v>
      </c>
      <c r="C44" s="1">
        <v>40</v>
      </c>
    </row>
    <row r="45" ht="14.25">
      <c r="A45" s="1" t="s">
        <v>31</v>
      </c>
      <c r="B45" s="1" t="s">
        <v>34</v>
      </c>
      <c r="C45" s="1">
        <v>20</v>
      </c>
    </row>
    <row r="46" ht="14.25">
      <c r="A46" s="1" t="s">
        <v>31</v>
      </c>
      <c r="B46" s="1" t="s">
        <v>35</v>
      </c>
      <c r="C46" s="1">
        <v>10</v>
      </c>
    </row>
    <row r="47" ht="14.25">
      <c r="A47" s="1" t="s">
        <v>31</v>
      </c>
      <c r="B47" s="1" t="s">
        <v>21</v>
      </c>
      <c r="C47" s="1">
        <v>100</v>
      </c>
    </row>
    <row r="48" ht="14.25">
      <c r="A48" s="1" t="s">
        <v>31</v>
      </c>
      <c r="B48" s="1" t="s">
        <v>16</v>
      </c>
      <c r="C48" s="1">
        <v>20</v>
      </c>
    </row>
    <row r="49" ht="14.25">
      <c r="A49" s="1" t="s">
        <v>31</v>
      </c>
      <c r="B49" s="1" t="s">
        <v>18</v>
      </c>
      <c r="C49" s="1">
        <v>80</v>
      </c>
    </row>
    <row r="50" ht="14.25">
      <c r="A50" s="1" t="s">
        <v>31</v>
      </c>
      <c r="B50" s="1" t="s">
        <v>36</v>
      </c>
      <c r="C50" s="1">
        <v>30</v>
      </c>
    </row>
    <row r="51" ht="14.25">
      <c r="A51" s="1" t="s">
        <v>31</v>
      </c>
      <c r="B51" s="1" t="s">
        <v>37</v>
      </c>
      <c r="C51" s="1">
        <v>70</v>
      </c>
    </row>
    <row r="52" ht="14.25">
      <c r="A52" s="1" t="s">
        <v>31</v>
      </c>
      <c r="B52" s="1" t="s">
        <v>38</v>
      </c>
      <c r="C52" s="1">
        <v>30</v>
      </c>
    </row>
    <row r="53" ht="14.25">
      <c r="A53" s="1" t="s">
        <v>31</v>
      </c>
      <c r="B53" s="1" t="s">
        <v>23</v>
      </c>
      <c r="C53" s="1">
        <v>20</v>
      </c>
    </row>
    <row r="54" ht="14.25">
      <c r="A54" s="1" t="s">
        <v>39</v>
      </c>
      <c r="B54" s="1" t="s">
        <v>40</v>
      </c>
      <c r="C54" s="1">
        <v>20.800000000000001</v>
      </c>
    </row>
    <row r="55" ht="14.25">
      <c r="A55" s="1" t="s">
        <v>39</v>
      </c>
      <c r="B55" s="1" t="s">
        <v>11</v>
      </c>
      <c r="C55" s="1">
        <v>16.699999999999999</v>
      </c>
    </row>
    <row r="56" ht="14.25">
      <c r="A56" s="1" t="s">
        <v>39</v>
      </c>
      <c r="B56" s="1" t="s">
        <v>5</v>
      </c>
      <c r="C56" s="1">
        <v>37.5</v>
      </c>
    </row>
    <row r="57" ht="14.25">
      <c r="A57" s="1" t="s">
        <v>39</v>
      </c>
      <c r="B57" s="1" t="s">
        <v>41</v>
      </c>
      <c r="C57" s="1">
        <v>4.2000000000000002</v>
      </c>
    </row>
    <row r="58" ht="14.25">
      <c r="A58" s="1" t="s">
        <v>39</v>
      </c>
      <c r="B58" s="1" t="s">
        <v>42</v>
      </c>
      <c r="C58" s="1">
        <v>70.799999999999997</v>
      </c>
    </row>
    <row r="59" ht="14.25">
      <c r="A59" s="1" t="s">
        <v>39</v>
      </c>
      <c r="B59" s="1" t="s">
        <v>13</v>
      </c>
      <c r="C59" s="1">
        <v>66.700000000000003</v>
      </c>
    </row>
    <row r="60" ht="14.25">
      <c r="A60" s="1" t="s">
        <v>39</v>
      </c>
      <c r="B60" s="1" t="s">
        <v>21</v>
      </c>
      <c r="C60" s="1">
        <v>4.2000000000000002</v>
      </c>
    </row>
    <row r="61" ht="14.25">
      <c r="A61" s="1" t="s">
        <v>39</v>
      </c>
      <c r="B61" s="1" t="s">
        <v>15</v>
      </c>
      <c r="C61" s="1">
        <v>25</v>
      </c>
    </row>
    <row r="62" ht="14.25">
      <c r="A62" s="1" t="s">
        <v>39</v>
      </c>
      <c r="B62" s="1" t="s">
        <v>29</v>
      </c>
      <c r="C62" s="1">
        <v>37.5</v>
      </c>
    </row>
    <row r="63" ht="14.25">
      <c r="A63" s="1" t="s">
        <v>39</v>
      </c>
      <c r="B63" s="1" t="s">
        <v>43</v>
      </c>
      <c r="C63" s="1">
        <v>4.2000000000000002</v>
      </c>
    </row>
    <row r="64" ht="14.25">
      <c r="A64" s="1" t="s">
        <v>44</v>
      </c>
      <c r="B64" s="1" t="s">
        <v>45</v>
      </c>
      <c r="C64" s="1">
        <v>100</v>
      </c>
    </row>
    <row r="65" ht="14.25">
      <c r="A65" s="1" t="s">
        <v>44</v>
      </c>
      <c r="B65" s="1" t="s">
        <v>46</v>
      </c>
      <c r="C65" s="1">
        <v>80</v>
      </c>
    </row>
    <row r="66" ht="14.25">
      <c r="A66" s="1" t="s">
        <v>44</v>
      </c>
      <c r="B66" s="1" t="s">
        <v>47</v>
      </c>
      <c r="C66" s="1">
        <v>20</v>
      </c>
    </row>
    <row r="67" ht="14.25">
      <c r="A67" s="1" t="s">
        <v>44</v>
      </c>
      <c r="B67" s="1" t="s">
        <v>48</v>
      </c>
      <c r="C67" s="1">
        <v>100</v>
      </c>
    </row>
    <row r="68" ht="14.25">
      <c r="A68" s="1" t="s">
        <v>44</v>
      </c>
      <c r="B68" s="1" t="s">
        <v>42</v>
      </c>
      <c r="C68" s="1">
        <v>20</v>
      </c>
    </row>
    <row r="69" ht="14.25">
      <c r="A69" s="1" t="s">
        <v>44</v>
      </c>
      <c r="B69" s="1" t="s">
        <v>49</v>
      </c>
      <c r="C69" s="1">
        <v>100</v>
      </c>
    </row>
    <row r="70" ht="14.25">
      <c r="A70" s="1" t="s">
        <v>44</v>
      </c>
      <c r="B70" s="1" t="s">
        <v>50</v>
      </c>
      <c r="C70" s="1">
        <v>40</v>
      </c>
    </row>
    <row r="71" ht="14.25">
      <c r="A71" s="1" t="s">
        <v>44</v>
      </c>
      <c r="B71" s="1" t="s">
        <v>38</v>
      </c>
      <c r="C71" s="1">
        <v>100</v>
      </c>
    </row>
    <row r="72" ht="14.25">
      <c r="A72" s="1" t="s">
        <v>44</v>
      </c>
      <c r="B72" s="1" t="s">
        <v>51</v>
      </c>
      <c r="C72" s="1">
        <v>40</v>
      </c>
    </row>
    <row r="73" ht="14.25">
      <c r="A73" s="1" t="s">
        <v>52</v>
      </c>
      <c r="B73" s="1" t="s">
        <v>53</v>
      </c>
      <c r="C73" s="1">
        <v>40</v>
      </c>
    </row>
    <row r="74" ht="14.25">
      <c r="A74" s="1" t="s">
        <v>52</v>
      </c>
      <c r="B74" s="1" t="s">
        <v>54</v>
      </c>
      <c r="C74" s="1">
        <v>60</v>
      </c>
    </row>
    <row r="75" ht="14.25">
      <c r="A75" s="1" t="s">
        <v>52</v>
      </c>
      <c r="B75" s="1" t="s">
        <v>38</v>
      </c>
      <c r="C75" s="1">
        <v>80</v>
      </c>
    </row>
    <row r="76" ht="14.25">
      <c r="A76" s="1" t="s">
        <v>52</v>
      </c>
      <c r="B76" s="1" t="s">
        <v>55</v>
      </c>
      <c r="C76" s="1">
        <v>100</v>
      </c>
    </row>
    <row r="77" ht="14.25">
      <c r="A77" s="1" t="s">
        <v>52</v>
      </c>
      <c r="B77" s="1" t="s">
        <v>56</v>
      </c>
      <c r="C77" s="1">
        <v>60</v>
      </c>
    </row>
    <row r="78" ht="14.25">
      <c r="A78" s="1" t="s">
        <v>52</v>
      </c>
      <c r="B78" s="1" t="s">
        <v>57</v>
      </c>
      <c r="C78" s="1">
        <v>20</v>
      </c>
    </row>
    <row r="79" ht="14.25">
      <c r="A79" s="1" t="s">
        <v>58</v>
      </c>
      <c r="B79" s="1" t="s">
        <v>59</v>
      </c>
      <c r="C79" s="1">
        <v>50</v>
      </c>
    </row>
    <row r="80" ht="14.25">
      <c r="A80" s="1" t="s">
        <v>60</v>
      </c>
      <c r="B80" s="1" t="s">
        <v>59</v>
      </c>
      <c r="C80" s="1">
        <v>20</v>
      </c>
    </row>
    <row r="81" ht="14.25">
      <c r="A81" s="1" t="s">
        <v>61</v>
      </c>
      <c r="B81" s="1" t="s">
        <v>59</v>
      </c>
      <c r="C81" s="1">
        <v>20</v>
      </c>
    </row>
    <row r="82" ht="14.25">
      <c r="A82" s="1" t="s">
        <v>62</v>
      </c>
      <c r="B82" s="1" t="s">
        <v>59</v>
      </c>
      <c r="C82" s="1">
        <v>50</v>
      </c>
    </row>
    <row r="83" ht="14.25">
      <c r="A83" s="1" t="s">
        <v>61</v>
      </c>
      <c r="B83" s="1" t="s">
        <v>63</v>
      </c>
      <c r="C83" s="1">
        <v>10</v>
      </c>
    </row>
    <row r="84" ht="14.25">
      <c r="A84" s="1" t="s">
        <v>58</v>
      </c>
      <c r="B84" s="1" t="s">
        <v>11</v>
      </c>
      <c r="C84" s="1">
        <v>10</v>
      </c>
    </row>
    <row r="85" ht="14.25">
      <c r="A85" s="1" t="s">
        <v>58</v>
      </c>
      <c r="B85" s="1" t="s">
        <v>5</v>
      </c>
      <c r="C85" s="1">
        <v>30</v>
      </c>
    </row>
    <row r="86" ht="14.25">
      <c r="A86" s="1" t="s">
        <v>60</v>
      </c>
      <c r="B86" s="1" t="s">
        <v>5</v>
      </c>
      <c r="C86" s="1">
        <v>10</v>
      </c>
    </row>
    <row r="87" ht="14.25">
      <c r="A87" s="1" t="s">
        <v>62</v>
      </c>
      <c r="B87" s="1" t="s">
        <v>5</v>
      </c>
      <c r="C87" s="1">
        <v>20</v>
      </c>
    </row>
    <row r="88" ht="14.25">
      <c r="A88" s="1" t="s">
        <v>58</v>
      </c>
      <c r="B88" s="1" t="s">
        <v>12</v>
      </c>
      <c r="C88" s="1">
        <v>80</v>
      </c>
    </row>
    <row r="89" ht="14.25">
      <c r="A89" s="1" t="s">
        <v>64</v>
      </c>
      <c r="B89" s="1" t="s">
        <v>5</v>
      </c>
      <c r="C89" s="1">
        <v>26.315799999999999</v>
      </c>
    </row>
    <row r="90" ht="14.25">
      <c r="A90" s="1" t="s">
        <v>64</v>
      </c>
      <c r="B90" s="1" t="s">
        <v>53</v>
      </c>
      <c r="C90" s="1">
        <v>10.526300000000001</v>
      </c>
    </row>
    <row r="91" ht="14.25">
      <c r="A91" s="1" t="s">
        <v>64</v>
      </c>
      <c r="B91" s="1" t="s">
        <v>42</v>
      </c>
      <c r="C91" s="1">
        <v>15.7895</v>
      </c>
    </row>
    <row r="92" ht="14.25">
      <c r="A92" s="1" t="s">
        <v>64</v>
      </c>
      <c r="B92" s="1" t="s">
        <v>65</v>
      </c>
      <c r="C92" s="1">
        <v>5.2632000000000003</v>
      </c>
    </row>
    <row r="93" ht="14.25">
      <c r="A93" s="1" t="s">
        <v>64</v>
      </c>
      <c r="B93" s="1" t="s">
        <v>30</v>
      </c>
      <c r="C93" s="1">
        <v>21.052600000000002</v>
      </c>
    </row>
    <row r="94" ht="14.25">
      <c r="A94" s="1" t="s">
        <v>64</v>
      </c>
      <c r="B94" s="1" t="s">
        <v>38</v>
      </c>
      <c r="C94" s="1">
        <v>94.736800000000002</v>
      </c>
    </row>
    <row r="95" ht="14.25">
      <c r="A95" s="1" t="s">
        <v>64</v>
      </c>
      <c r="B95" s="1" t="s">
        <v>55</v>
      </c>
      <c r="C95" s="1">
        <v>5.2632000000000003</v>
      </c>
    </row>
    <row r="96" ht="14.25">
      <c r="A96" s="1" t="s">
        <v>64</v>
      </c>
      <c r="B96" s="1" t="s">
        <v>66</v>
      </c>
      <c r="C96" s="1">
        <v>15.7895</v>
      </c>
    </row>
    <row r="97" ht="14.25">
      <c r="A97" s="1" t="s">
        <v>67</v>
      </c>
      <c r="B97" s="1" t="s">
        <v>45</v>
      </c>
      <c r="C97" s="1">
        <v>16.666699999999999</v>
      </c>
    </row>
    <row r="98" ht="14.25">
      <c r="A98" s="1" t="s">
        <v>67</v>
      </c>
      <c r="B98" s="1" t="s">
        <v>5</v>
      </c>
      <c r="C98" s="1">
        <v>33.333300000000001</v>
      </c>
    </row>
    <row r="99" ht="14.25">
      <c r="A99" s="1" t="s">
        <v>67</v>
      </c>
      <c r="B99" s="1" t="s">
        <v>42</v>
      </c>
      <c r="C99" s="1">
        <v>16.666699999999999</v>
      </c>
    </row>
    <row r="100" ht="14.25">
      <c r="A100" s="1" t="s">
        <v>67</v>
      </c>
      <c r="B100" s="1" t="s">
        <v>65</v>
      </c>
      <c r="C100" s="1">
        <v>33.333300000000001</v>
      </c>
    </row>
    <row r="101" ht="14.25">
      <c r="A101" s="1" t="s">
        <v>67</v>
      </c>
      <c r="B101" s="1" t="s">
        <v>30</v>
      </c>
      <c r="C101" s="1">
        <v>33.333300000000001</v>
      </c>
    </row>
    <row r="102" ht="14.25">
      <c r="A102" s="1" t="s">
        <v>67</v>
      </c>
      <c r="B102" s="1" t="s">
        <v>68</v>
      </c>
      <c r="C102" s="1">
        <v>16.666699999999999</v>
      </c>
    </row>
    <row r="103" ht="14.25">
      <c r="A103" s="1" t="s">
        <v>67</v>
      </c>
      <c r="B103" s="1" t="s">
        <v>38</v>
      </c>
      <c r="C103" s="1">
        <v>66.666700000000006</v>
      </c>
    </row>
    <row r="104" ht="14.25">
      <c r="A104" s="1" t="s">
        <v>67</v>
      </c>
      <c r="B104" s="1" t="s">
        <v>69</v>
      </c>
      <c r="C104" s="1">
        <v>50</v>
      </c>
    </row>
    <row r="105" ht="14.25">
      <c r="A105" s="1" t="s">
        <v>67</v>
      </c>
      <c r="B105" s="1" t="s">
        <v>66</v>
      </c>
      <c r="C105" s="1">
        <v>33.333300000000001</v>
      </c>
    </row>
    <row r="106" ht="14.25">
      <c r="A106" s="1" t="s">
        <v>70</v>
      </c>
      <c r="B106" s="1" t="s">
        <v>11</v>
      </c>
      <c r="C106" s="1">
        <v>1.19047619047619</v>
      </c>
    </row>
    <row r="107" ht="14.25">
      <c r="A107" s="1" t="s">
        <v>70</v>
      </c>
      <c r="B107" s="1" t="s">
        <v>45</v>
      </c>
      <c r="C107" s="1">
        <v>9.5238095238095202</v>
      </c>
    </row>
    <row r="108" ht="14.25">
      <c r="A108" s="1" t="s">
        <v>70</v>
      </c>
      <c r="B108" s="1" t="s">
        <v>71</v>
      </c>
      <c r="C108" s="1">
        <v>5.9428571428571404</v>
      </c>
    </row>
    <row r="109" ht="14.25">
      <c r="A109" s="1" t="s">
        <v>70</v>
      </c>
      <c r="B109" s="1" t="s">
        <v>72</v>
      </c>
      <c r="C109" s="1">
        <v>30.9428571428571</v>
      </c>
    </row>
    <row r="110" ht="14.25">
      <c r="A110" s="1" t="s">
        <v>70</v>
      </c>
      <c r="B110" s="1" t="s">
        <v>73</v>
      </c>
      <c r="C110" s="1">
        <v>2.38095238095238</v>
      </c>
    </row>
    <row r="111" ht="14.25">
      <c r="A111" s="1" t="s">
        <v>70</v>
      </c>
      <c r="B111" s="1" t="s">
        <v>5</v>
      </c>
      <c r="C111" s="1">
        <v>1.19047619047619</v>
      </c>
    </row>
    <row r="112" ht="14.25">
      <c r="A112" s="1" t="s">
        <v>70</v>
      </c>
      <c r="B112" s="1" t="s">
        <v>12</v>
      </c>
      <c r="C112" s="1">
        <v>2.38095238095238</v>
      </c>
    </row>
    <row r="113" ht="14.25">
      <c r="A113" s="1" t="s">
        <v>70</v>
      </c>
      <c r="B113" s="1" t="s">
        <v>74</v>
      </c>
      <c r="C113" s="1">
        <v>7.1428571428571397</v>
      </c>
    </row>
    <row r="114" ht="14.25">
      <c r="A114" s="1" t="s">
        <v>70</v>
      </c>
      <c r="B114" s="1" t="s">
        <v>75</v>
      </c>
      <c r="C114" s="1">
        <v>10.714285714285699</v>
      </c>
    </row>
    <row r="115" ht="14.25">
      <c r="A115" s="1" t="s">
        <v>70</v>
      </c>
      <c r="B115" s="1" t="s">
        <v>33</v>
      </c>
      <c r="C115" s="1">
        <v>4.7571428571428598</v>
      </c>
    </row>
    <row r="116" ht="14.25">
      <c r="A116" s="1" t="s">
        <v>70</v>
      </c>
      <c r="B116" s="1" t="s">
        <v>76</v>
      </c>
      <c r="C116" s="1">
        <v>3.56666666666667</v>
      </c>
    </row>
    <row r="117" ht="14.25">
      <c r="A117" s="1" t="s">
        <v>70</v>
      </c>
      <c r="B117" s="1" t="s">
        <v>34</v>
      </c>
      <c r="C117" s="1">
        <v>35.714285714285701</v>
      </c>
    </row>
    <row r="118" ht="14.25">
      <c r="A118" s="1" t="s">
        <v>70</v>
      </c>
      <c r="B118" s="1" t="s">
        <v>77</v>
      </c>
      <c r="C118" s="1">
        <v>7.1333333333333302</v>
      </c>
    </row>
    <row r="119" ht="14.25">
      <c r="A119" s="1" t="s">
        <v>70</v>
      </c>
      <c r="B119" s="1" t="s">
        <v>78</v>
      </c>
      <c r="C119" s="1">
        <v>4.7619047619047601</v>
      </c>
    </row>
    <row r="120" ht="14.25">
      <c r="A120" s="1" t="s">
        <v>70</v>
      </c>
      <c r="B120" s="1" t="s">
        <v>36</v>
      </c>
      <c r="C120" s="1">
        <v>8.3333333333333304</v>
      </c>
    </row>
    <row r="121" ht="14.25">
      <c r="A121" s="1" t="s">
        <v>70</v>
      </c>
      <c r="B121" s="1" t="s">
        <v>22</v>
      </c>
      <c r="C121" s="1">
        <v>7.1428571428571397</v>
      </c>
    </row>
    <row r="122" ht="14.25">
      <c r="A122" s="1" t="s">
        <v>70</v>
      </c>
      <c r="B122" s="1" t="s">
        <v>38</v>
      </c>
      <c r="C122" s="1">
        <v>2.38095238095238</v>
      </c>
    </row>
    <row r="123" ht="14.25">
      <c r="A123" s="1" t="s">
        <v>70</v>
      </c>
      <c r="B123" s="1" t="s">
        <v>47</v>
      </c>
      <c r="C123" s="1">
        <v>1.19047619047619</v>
      </c>
    </row>
    <row r="124" ht="14.25">
      <c r="A124" s="1" t="s">
        <v>70</v>
      </c>
      <c r="B124" s="1" t="s">
        <v>79</v>
      </c>
      <c r="C124" s="1">
        <v>4.7571428571428598</v>
      </c>
    </row>
    <row r="125" ht="14.25">
      <c r="A125" s="1" t="s">
        <v>70</v>
      </c>
      <c r="B125" s="1" t="s">
        <v>43</v>
      </c>
      <c r="C125" s="1">
        <v>23.8095238095238</v>
      </c>
    </row>
    <row r="126" ht="14.25">
      <c r="A126" s="1" t="s">
        <v>80</v>
      </c>
      <c r="B126" s="1" t="s">
        <v>11</v>
      </c>
      <c r="C126" s="1">
        <v>23.3333333333333</v>
      </c>
    </row>
    <row r="127" ht="14.25">
      <c r="A127" s="1" t="s">
        <v>80</v>
      </c>
      <c r="B127" s="1" t="s">
        <v>75</v>
      </c>
      <c r="C127" s="1">
        <v>30</v>
      </c>
    </row>
    <row r="128" ht="14.25">
      <c r="A128" s="1" t="s">
        <v>80</v>
      </c>
      <c r="B128" s="1" t="s">
        <v>29</v>
      </c>
      <c r="C128" s="1">
        <v>3.3333333333333299</v>
      </c>
    </row>
    <row r="129" ht="14.25">
      <c r="A129" s="1" t="s">
        <v>80</v>
      </c>
      <c r="B129" s="1" t="s">
        <v>38</v>
      </c>
      <c r="C129" s="1">
        <v>28.886666666666699</v>
      </c>
    </row>
    <row r="130" ht="14.25">
      <c r="A130" s="1" t="s">
        <v>80</v>
      </c>
      <c r="B130" s="1" t="s">
        <v>51</v>
      </c>
      <c r="C130" s="1">
        <v>1.1100000000000001</v>
      </c>
    </row>
    <row r="131" ht="14.25">
      <c r="A131" s="1" t="s">
        <v>80</v>
      </c>
      <c r="B131" s="1" t="s">
        <v>55</v>
      </c>
      <c r="C131" s="1">
        <v>2.2200000000000002</v>
      </c>
    </row>
    <row r="132" ht="14.25">
      <c r="A132" s="1" t="s">
        <v>80</v>
      </c>
      <c r="B132" s="1" t="s">
        <v>43</v>
      </c>
      <c r="C132" s="1">
        <v>6.6644444444444497</v>
      </c>
    </row>
    <row r="133" ht="14.25">
      <c r="A133" s="1" t="s">
        <v>60</v>
      </c>
      <c r="B133" s="1" t="s">
        <v>12</v>
      </c>
      <c r="C133" s="1">
        <v>70</v>
      </c>
    </row>
    <row r="134" ht="14.25">
      <c r="A134" s="1" t="s">
        <v>61</v>
      </c>
      <c r="B134" s="1" t="s">
        <v>12</v>
      </c>
      <c r="C134" s="1">
        <v>30</v>
      </c>
    </row>
    <row r="135" ht="14.25">
      <c r="A135" s="1" t="s">
        <v>62</v>
      </c>
      <c r="B135" s="1" t="s">
        <v>81</v>
      </c>
      <c r="C135" s="1">
        <v>30</v>
      </c>
    </row>
    <row r="136" ht="14.25">
      <c r="A136" s="1" t="s">
        <v>62</v>
      </c>
      <c r="B136" s="1" t="s">
        <v>12</v>
      </c>
      <c r="C136" s="1">
        <v>10</v>
      </c>
    </row>
    <row r="137" ht="14.25">
      <c r="A137" s="1" t="s">
        <v>58</v>
      </c>
      <c r="B137" s="1" t="s">
        <v>75</v>
      </c>
      <c r="C137" s="1">
        <v>90</v>
      </c>
    </row>
    <row r="138" ht="14.25">
      <c r="A138" s="1" t="s">
        <v>60</v>
      </c>
      <c r="B138" s="1" t="s">
        <v>75</v>
      </c>
      <c r="C138" s="1">
        <v>90</v>
      </c>
    </row>
    <row r="139" ht="14.25">
      <c r="A139" s="1" t="s">
        <v>61</v>
      </c>
      <c r="B139" s="1" t="s">
        <v>75</v>
      </c>
      <c r="C139" s="1">
        <v>90</v>
      </c>
    </row>
    <row r="140" ht="14.25">
      <c r="A140" s="1" t="s">
        <v>62</v>
      </c>
      <c r="B140" s="1" t="s">
        <v>75</v>
      </c>
      <c r="C140" s="1">
        <v>40</v>
      </c>
    </row>
    <row r="141" ht="14.25">
      <c r="A141" s="1" t="s">
        <v>58</v>
      </c>
      <c r="B141" s="1" t="s">
        <v>42</v>
      </c>
      <c r="C141" s="1">
        <v>50</v>
      </c>
    </row>
    <row r="142" ht="14.25">
      <c r="A142" s="1" t="s">
        <v>62</v>
      </c>
      <c r="B142" s="1" t="s">
        <v>42</v>
      </c>
      <c r="C142" s="1">
        <v>10</v>
      </c>
    </row>
    <row r="143" ht="14.25">
      <c r="A143" s="1" t="s">
        <v>58</v>
      </c>
      <c r="B143" s="1" t="s">
        <v>13</v>
      </c>
      <c r="C143" s="1">
        <v>60</v>
      </c>
    </row>
    <row r="144" ht="14.25">
      <c r="A144" s="1" t="s">
        <v>60</v>
      </c>
      <c r="B144" s="1" t="s">
        <v>13</v>
      </c>
      <c r="C144" s="1">
        <v>10</v>
      </c>
    </row>
    <row r="145" ht="14.25">
      <c r="A145" s="1" t="s">
        <v>58</v>
      </c>
      <c r="B145" s="1" t="s">
        <v>29</v>
      </c>
      <c r="C145" s="1">
        <v>10</v>
      </c>
    </row>
    <row r="146" ht="14.25">
      <c r="A146" s="1" t="s">
        <v>82</v>
      </c>
      <c r="B146" s="1" t="s">
        <v>83</v>
      </c>
      <c r="C146" s="1">
        <v>28.571400000000001</v>
      </c>
    </row>
    <row r="147" ht="14.25">
      <c r="A147" s="1" t="s">
        <v>82</v>
      </c>
      <c r="B147" s="1" t="s">
        <v>5</v>
      </c>
      <c r="C147" s="1">
        <v>57.142899999999997</v>
      </c>
    </row>
    <row r="148" ht="14.25">
      <c r="A148" s="1" t="s">
        <v>82</v>
      </c>
      <c r="B148" s="1" t="s">
        <v>74</v>
      </c>
      <c r="C148" s="1">
        <v>85.714299999999994</v>
      </c>
    </row>
    <row r="149" ht="14.25">
      <c r="A149" s="1" t="s">
        <v>82</v>
      </c>
      <c r="B149" s="1" t="s">
        <v>42</v>
      </c>
      <c r="C149" s="1">
        <v>28.571400000000001</v>
      </c>
    </row>
    <row r="150" ht="14.25">
      <c r="A150" s="1" t="s">
        <v>82</v>
      </c>
      <c r="B150" s="1" t="s">
        <v>65</v>
      </c>
      <c r="C150" s="1">
        <v>42.857100000000003</v>
      </c>
    </row>
    <row r="151" ht="14.25">
      <c r="A151" s="1" t="s">
        <v>82</v>
      </c>
      <c r="B151" s="1" t="s">
        <v>54</v>
      </c>
      <c r="C151" s="1">
        <v>14.2857</v>
      </c>
    </row>
    <row r="152" ht="14.25">
      <c r="A152" s="1" t="s">
        <v>82</v>
      </c>
      <c r="B152" s="1" t="s">
        <v>38</v>
      </c>
      <c r="C152" s="1">
        <v>100</v>
      </c>
    </row>
    <row r="153" ht="14.25">
      <c r="A153" s="1" t="s">
        <v>82</v>
      </c>
      <c r="B153" s="1" t="s">
        <v>55</v>
      </c>
      <c r="C153" s="1">
        <v>57.142899999999997</v>
      </c>
    </row>
    <row r="154" ht="14.25">
      <c r="A154" s="1" t="s">
        <v>82</v>
      </c>
      <c r="B154" s="1" t="s">
        <v>66</v>
      </c>
      <c r="C154" s="1">
        <v>14.2857</v>
      </c>
    </row>
    <row r="155" ht="14.25">
      <c r="A155" s="1" t="s">
        <v>60</v>
      </c>
      <c r="B155" s="1" t="s">
        <v>29</v>
      </c>
      <c r="C155" s="1">
        <v>10</v>
      </c>
    </row>
    <row r="156" ht="14.25">
      <c r="A156" s="1" t="s">
        <v>62</v>
      </c>
      <c r="B156" s="1" t="s">
        <v>29</v>
      </c>
      <c r="C156" s="1">
        <v>70</v>
      </c>
    </row>
    <row r="157" ht="14.25">
      <c r="A157" s="1" t="s">
        <v>58</v>
      </c>
      <c r="B157" s="1" t="s">
        <v>22</v>
      </c>
      <c r="C157" s="1">
        <v>10</v>
      </c>
    </row>
    <row r="158" ht="14.25">
      <c r="A158" s="1" t="s">
        <v>60</v>
      </c>
      <c r="B158" s="1" t="s">
        <v>84</v>
      </c>
      <c r="C158" s="1">
        <v>10</v>
      </c>
    </row>
    <row r="159" ht="14.25">
      <c r="A159" s="1" t="s">
        <v>58</v>
      </c>
      <c r="B159" s="1" t="s">
        <v>23</v>
      </c>
      <c r="C159" s="1">
        <v>30</v>
      </c>
    </row>
    <row r="160" ht="14.25">
      <c r="A160" s="1" t="s">
        <v>60</v>
      </c>
      <c r="B160" s="1" t="s">
        <v>43</v>
      </c>
      <c r="C160" s="1">
        <v>80</v>
      </c>
    </row>
    <row r="161" ht="14.25">
      <c r="A161" s="1" t="s">
        <v>61</v>
      </c>
      <c r="B161" s="1" t="s">
        <v>43</v>
      </c>
      <c r="C161" s="1">
        <v>90</v>
      </c>
    </row>
    <row r="162" ht="14.25">
      <c r="A162" s="1" t="s">
        <v>62</v>
      </c>
      <c r="B162" s="1" t="s">
        <v>43</v>
      </c>
      <c r="C162" s="1">
        <v>50</v>
      </c>
    </row>
    <row r="163" ht="14.25">
      <c r="A163" s="1" t="s">
        <v>85</v>
      </c>
      <c r="B163" s="1" t="s">
        <v>40</v>
      </c>
      <c r="C163" s="1">
        <v>1.25</v>
      </c>
    </row>
    <row r="164" ht="14.25">
      <c r="A164" s="1" t="s">
        <v>85</v>
      </c>
      <c r="B164" s="1" t="s">
        <v>11</v>
      </c>
      <c r="C164" s="1">
        <v>6.25</v>
      </c>
    </row>
    <row r="165" ht="14.25">
      <c r="A165" s="1" t="s">
        <v>85</v>
      </c>
      <c r="B165" s="1" t="s">
        <v>86</v>
      </c>
      <c r="C165" s="1">
        <v>7.5</v>
      </c>
    </row>
    <row r="166" ht="14.25">
      <c r="A166" s="1" t="s">
        <v>85</v>
      </c>
      <c r="B166" s="1" t="s">
        <v>5</v>
      </c>
      <c r="C166" s="1">
        <v>12.5</v>
      </c>
    </row>
    <row r="167" ht="14.25">
      <c r="A167" s="1" t="s">
        <v>85</v>
      </c>
      <c r="B167" s="1" t="s">
        <v>75</v>
      </c>
      <c r="C167" s="1">
        <v>20</v>
      </c>
    </row>
    <row r="168" ht="14.25">
      <c r="A168" s="1" t="s">
        <v>85</v>
      </c>
      <c r="B168" s="1" t="s">
        <v>76</v>
      </c>
      <c r="C168" s="1">
        <v>1.25</v>
      </c>
    </row>
    <row r="169" ht="14.25">
      <c r="A169" s="1" t="s">
        <v>85</v>
      </c>
      <c r="B169" s="1" t="s">
        <v>20</v>
      </c>
      <c r="C169" s="1">
        <v>26.25</v>
      </c>
    </row>
    <row r="170" ht="14.25">
      <c r="A170" s="1" t="s">
        <v>85</v>
      </c>
      <c r="B170" s="1" t="s">
        <v>13</v>
      </c>
      <c r="C170" s="1">
        <v>38.75</v>
      </c>
    </row>
    <row r="171" ht="14.25">
      <c r="A171" s="1" t="s">
        <v>85</v>
      </c>
      <c r="B171" s="1" t="s">
        <v>87</v>
      </c>
      <c r="C171" s="1">
        <v>12.5</v>
      </c>
    </row>
    <row r="172" ht="14.25">
      <c r="A172" s="1" t="s">
        <v>85</v>
      </c>
      <c r="B172" s="1" t="s">
        <v>34</v>
      </c>
      <c r="C172" s="1">
        <v>3.75</v>
      </c>
    </row>
    <row r="173" ht="14.25">
      <c r="A173" s="1" t="s">
        <v>85</v>
      </c>
      <c r="B173" s="1" t="s">
        <v>77</v>
      </c>
      <c r="C173" s="1">
        <v>1.25</v>
      </c>
    </row>
    <row r="174" ht="14.25">
      <c r="A174" s="1" t="s">
        <v>85</v>
      </c>
      <c r="B174" s="1" t="s">
        <v>14</v>
      </c>
      <c r="C174" s="1">
        <v>3.75</v>
      </c>
    </row>
    <row r="175" ht="13.800000000000001" customHeight="1">
      <c r="A175" s="1" t="s">
        <v>85</v>
      </c>
      <c r="B175" s="1" t="s">
        <v>29</v>
      </c>
      <c r="C175" s="1">
        <v>8.75</v>
      </c>
    </row>
    <row r="176" ht="13.800000000000001" customHeight="1">
      <c r="A176" s="1" t="s">
        <v>85</v>
      </c>
      <c r="B176" s="1" t="s">
        <v>88</v>
      </c>
      <c r="C176" s="1">
        <v>7.5</v>
      </c>
    </row>
    <row r="177" ht="13.800000000000001" customHeight="1">
      <c r="A177" s="1" t="s">
        <v>85</v>
      </c>
      <c r="B177" s="1" t="s">
        <v>36</v>
      </c>
      <c r="C177" s="1">
        <v>43.75</v>
      </c>
    </row>
    <row r="178" ht="13.800000000000001" customHeight="1">
      <c r="A178" s="1" t="s">
        <v>85</v>
      </c>
      <c r="B178" s="1" t="s">
        <v>89</v>
      </c>
      <c r="C178" s="1">
        <v>1.25</v>
      </c>
    </row>
    <row r="179" ht="13.800000000000001" customHeight="1">
      <c r="A179" s="1" t="s">
        <v>85</v>
      </c>
      <c r="B179" s="1" t="s">
        <v>22</v>
      </c>
      <c r="C179" s="1">
        <v>8.75</v>
      </c>
    </row>
    <row r="180" ht="13.800000000000001" customHeight="1">
      <c r="A180" s="1" t="s">
        <v>85</v>
      </c>
      <c r="B180" s="1" t="s">
        <v>30</v>
      </c>
      <c r="C180" s="1">
        <v>1.25</v>
      </c>
    </row>
    <row r="181" ht="13.800000000000001" customHeight="1">
      <c r="A181" s="1" t="s">
        <v>85</v>
      </c>
      <c r="B181" s="1" t="s">
        <v>38</v>
      </c>
      <c r="C181" s="1">
        <v>2.5</v>
      </c>
    </row>
    <row r="182" ht="13.800000000000001" customHeight="1">
      <c r="A182" s="1" t="s">
        <v>85</v>
      </c>
      <c r="B182" s="1" t="s">
        <v>79</v>
      </c>
      <c r="C182" s="1">
        <v>33.75</v>
      </c>
    </row>
    <row r="183" ht="13.800000000000001" customHeight="1">
      <c r="A183" s="1" t="s">
        <v>85</v>
      </c>
      <c r="B183" s="1" t="s">
        <v>23</v>
      </c>
      <c r="C183" s="1">
        <v>18.75</v>
      </c>
    </row>
    <row r="184" ht="13.800000000000001" customHeight="1">
      <c r="A184" s="1" t="s">
        <v>85</v>
      </c>
      <c r="B184" s="1" t="s">
        <v>43</v>
      </c>
      <c r="C184" s="1">
        <v>42.5</v>
      </c>
    </row>
    <row r="185" ht="13.800000000000001" customHeight="1">
      <c r="A185" s="1" t="s">
        <v>90</v>
      </c>
      <c r="B185" s="1" t="s">
        <v>71</v>
      </c>
      <c r="C185" s="1">
        <v>34.6354166666667</v>
      </c>
    </row>
    <row r="186" ht="13.800000000000001" customHeight="1">
      <c r="A186" s="1" t="s">
        <v>90</v>
      </c>
      <c r="B186" s="1" t="s">
        <v>72</v>
      </c>
      <c r="C186" s="1">
        <v>78.0208333333333</v>
      </c>
    </row>
    <row r="187" ht="13.800000000000001" customHeight="1">
      <c r="A187" s="1" t="s">
        <v>90</v>
      </c>
      <c r="B187" s="1" t="s">
        <v>73</v>
      </c>
      <c r="C187" s="1">
        <v>2.0750000000000002</v>
      </c>
    </row>
    <row r="188" ht="13.800000000000001" customHeight="1">
      <c r="A188" s="1" t="s">
        <v>90</v>
      </c>
      <c r="B188" s="1" t="s">
        <v>12</v>
      </c>
      <c r="C188" s="1">
        <v>16.649999999999999</v>
      </c>
    </row>
    <row r="189" ht="13.800000000000001" customHeight="1">
      <c r="A189" s="1" t="s">
        <v>90</v>
      </c>
      <c r="B189" s="1" t="s">
        <v>74</v>
      </c>
      <c r="C189" s="1">
        <v>22.875</v>
      </c>
    </row>
    <row r="190" ht="13.800000000000001" customHeight="1">
      <c r="A190" s="1" t="s">
        <v>90</v>
      </c>
      <c r="B190" s="1" t="s">
        <v>34</v>
      </c>
      <c r="C190" s="1">
        <v>24.975000000000001</v>
      </c>
    </row>
    <row r="191" ht="13.800000000000001" customHeight="1">
      <c r="A191" s="1" t="s">
        <v>90</v>
      </c>
      <c r="B191" s="1" t="s">
        <v>77</v>
      </c>
      <c r="C191" s="1">
        <v>10.375</v>
      </c>
    </row>
    <row r="192" ht="13.800000000000001" customHeight="1">
      <c r="A192" s="1" t="s">
        <v>90</v>
      </c>
      <c r="B192" s="1" t="s">
        <v>36</v>
      </c>
      <c r="C192" s="1">
        <v>100</v>
      </c>
    </row>
    <row r="193" ht="13.800000000000001" customHeight="1">
      <c r="A193" s="1" t="s">
        <v>90</v>
      </c>
      <c r="B193" s="1" t="s">
        <v>38</v>
      </c>
      <c r="C193" s="1">
        <v>2.0750000000000002</v>
      </c>
    </row>
    <row r="194" ht="13.800000000000001" customHeight="1">
      <c r="A194" s="1" t="s">
        <v>90</v>
      </c>
      <c r="B194" s="1" t="s">
        <v>91</v>
      </c>
      <c r="C194" s="1">
        <v>2.0750000000000002</v>
      </c>
    </row>
    <row r="195" ht="13.800000000000001" customHeight="1">
      <c r="A195" s="1" t="s">
        <v>90</v>
      </c>
      <c r="B195" s="1" t="s">
        <v>79</v>
      </c>
      <c r="C195" s="1">
        <v>2.0750000000000002</v>
      </c>
    </row>
    <row r="196" ht="13.800000000000001" customHeight="1">
      <c r="A196" s="1" t="s">
        <v>90</v>
      </c>
      <c r="B196" s="1" t="s">
        <v>43</v>
      </c>
      <c r="C196" s="1">
        <v>24.975000000000001</v>
      </c>
    </row>
    <row r="197" ht="13.800000000000001" customHeight="1">
      <c r="A197" s="1" t="s">
        <v>92</v>
      </c>
      <c r="B197" s="1" t="s">
        <v>86</v>
      </c>
      <c r="C197" s="1">
        <v>2.5</v>
      </c>
    </row>
    <row r="198" ht="13.800000000000001" customHeight="1">
      <c r="A198" s="1" t="s">
        <v>92</v>
      </c>
      <c r="B198" s="1" t="s">
        <v>71</v>
      </c>
      <c r="C198" s="1">
        <v>25</v>
      </c>
    </row>
    <row r="199" ht="13.800000000000001" customHeight="1">
      <c r="A199" s="1" t="s">
        <v>92</v>
      </c>
      <c r="B199" s="1" t="s">
        <v>5</v>
      </c>
      <c r="C199" s="1">
        <v>22.5</v>
      </c>
    </row>
    <row r="200" ht="13.800000000000001" customHeight="1">
      <c r="A200" s="1" t="s">
        <v>92</v>
      </c>
      <c r="B200" s="1" t="s">
        <v>12</v>
      </c>
      <c r="C200" s="1">
        <v>22.5</v>
      </c>
    </row>
    <row r="201" ht="13.800000000000001" customHeight="1">
      <c r="A201" s="1" t="s">
        <v>92</v>
      </c>
      <c r="B201" s="1" t="s">
        <v>13</v>
      </c>
      <c r="C201" s="1">
        <v>87.5</v>
      </c>
    </row>
    <row r="202" ht="13.800000000000001" customHeight="1">
      <c r="A202" s="1" t="s">
        <v>92</v>
      </c>
      <c r="B202" s="1" t="s">
        <v>87</v>
      </c>
      <c r="C202" s="1">
        <v>15</v>
      </c>
    </row>
    <row r="203" ht="13.800000000000001" customHeight="1">
      <c r="A203" s="1" t="s">
        <v>92</v>
      </c>
      <c r="B203" s="1" t="s">
        <v>34</v>
      </c>
      <c r="C203" s="1">
        <v>25</v>
      </c>
    </row>
    <row r="204" ht="13.800000000000001" customHeight="1">
      <c r="A204" s="1" t="s">
        <v>92</v>
      </c>
      <c r="B204" s="1" t="s">
        <v>14</v>
      </c>
      <c r="C204" s="1">
        <v>27.5</v>
      </c>
    </row>
    <row r="205" ht="13.800000000000001" customHeight="1">
      <c r="A205" s="1" t="s">
        <v>92</v>
      </c>
      <c r="B205" s="1" t="s">
        <v>88</v>
      </c>
      <c r="C205" s="1">
        <v>2.5</v>
      </c>
    </row>
    <row r="206" ht="13.800000000000001" customHeight="1">
      <c r="A206" s="1" t="s">
        <v>92</v>
      </c>
      <c r="B206" s="1" t="s">
        <v>17</v>
      </c>
      <c r="C206" s="1">
        <v>27.5</v>
      </c>
    </row>
    <row r="207" ht="13.800000000000001" customHeight="1">
      <c r="A207" s="1" t="s">
        <v>92</v>
      </c>
      <c r="B207" s="1" t="s">
        <v>30</v>
      </c>
      <c r="C207" s="1">
        <v>97.5</v>
      </c>
    </row>
    <row r="208" ht="13.800000000000001" customHeight="1">
      <c r="A208" s="1" t="s">
        <v>92</v>
      </c>
      <c r="B208" s="1" t="s">
        <v>79</v>
      </c>
      <c r="C208" s="1">
        <v>45</v>
      </c>
    </row>
    <row r="209" ht="13.800000000000001" customHeight="1">
      <c r="A209" s="1" t="s">
        <v>92</v>
      </c>
      <c r="B209" s="1" t="s">
        <v>23</v>
      </c>
      <c r="C209" s="1">
        <v>75</v>
      </c>
    </row>
    <row r="210" ht="13.800000000000001" customHeight="1">
      <c r="A210" s="1" t="s">
        <v>93</v>
      </c>
      <c r="B210" s="1" t="s">
        <v>11</v>
      </c>
      <c r="C210" s="1">
        <v>1.25</v>
      </c>
    </row>
    <row r="211" ht="13.800000000000001" customHeight="1">
      <c r="A211" s="1" t="s">
        <v>93</v>
      </c>
      <c r="B211" s="1" t="s">
        <v>86</v>
      </c>
      <c r="C211" s="1">
        <v>15</v>
      </c>
    </row>
    <row r="212" ht="13.800000000000001" customHeight="1">
      <c r="A212" s="1" t="s">
        <v>93</v>
      </c>
      <c r="B212" s="1" t="s">
        <v>5</v>
      </c>
      <c r="C212" s="1">
        <v>57.5</v>
      </c>
    </row>
    <row r="213" ht="13.800000000000001" customHeight="1">
      <c r="A213" s="1" t="s">
        <v>93</v>
      </c>
      <c r="B213" s="1" t="s">
        <v>12</v>
      </c>
      <c r="C213" s="1">
        <v>3.75</v>
      </c>
    </row>
    <row r="214" ht="13.800000000000001" customHeight="1">
      <c r="A214" s="1" t="s">
        <v>93</v>
      </c>
      <c r="B214" s="1" t="s">
        <v>42</v>
      </c>
      <c r="C214" s="1">
        <v>11.25</v>
      </c>
    </row>
    <row r="215" ht="13.800000000000001" customHeight="1">
      <c r="A215" s="1" t="s">
        <v>93</v>
      </c>
      <c r="B215" s="1" t="s">
        <v>13</v>
      </c>
      <c r="C215" s="1">
        <v>80</v>
      </c>
    </row>
    <row r="216" ht="13.800000000000001" customHeight="1">
      <c r="A216" s="1" t="s">
        <v>93</v>
      </c>
      <c r="B216" s="1" t="s">
        <v>34</v>
      </c>
      <c r="C216" s="1">
        <v>16.25</v>
      </c>
    </row>
    <row r="217" ht="13.800000000000001" customHeight="1">
      <c r="A217" s="1" t="s">
        <v>93</v>
      </c>
      <c r="B217" s="1" t="s">
        <v>77</v>
      </c>
      <c r="C217" s="1">
        <v>30</v>
      </c>
    </row>
    <row r="218" ht="13.800000000000001" customHeight="1">
      <c r="A218" s="1" t="s">
        <v>93</v>
      </c>
      <c r="B218" s="1" t="s">
        <v>16</v>
      </c>
      <c r="C218" s="1">
        <v>2.5</v>
      </c>
    </row>
    <row r="219" ht="13.800000000000001" customHeight="1">
      <c r="A219" s="1" t="s">
        <v>93</v>
      </c>
      <c r="B219" s="1" t="s">
        <v>17</v>
      </c>
      <c r="C219" s="1">
        <v>26.25</v>
      </c>
    </row>
    <row r="220" ht="13.800000000000001" customHeight="1">
      <c r="A220" s="1" t="s">
        <v>93</v>
      </c>
      <c r="B220" s="1" t="s">
        <v>18</v>
      </c>
      <c r="C220" s="1">
        <v>11.25</v>
      </c>
    </row>
    <row r="221" ht="13.800000000000001" customHeight="1">
      <c r="A221" s="1" t="s">
        <v>93</v>
      </c>
      <c r="B221" s="1" t="s">
        <v>22</v>
      </c>
      <c r="C221" s="1">
        <v>11.25</v>
      </c>
    </row>
    <row r="222" ht="13.800000000000001" customHeight="1">
      <c r="A222" s="1" t="s">
        <v>93</v>
      </c>
      <c r="B222" s="1" t="s">
        <v>30</v>
      </c>
      <c r="C222" s="1">
        <v>11.25</v>
      </c>
    </row>
    <row r="223" ht="13.800000000000001" customHeight="1">
      <c r="A223" s="1" t="s">
        <v>93</v>
      </c>
      <c r="B223" s="1" t="s">
        <v>38</v>
      </c>
      <c r="C223" s="1">
        <v>21.25</v>
      </c>
    </row>
    <row r="224" ht="13.800000000000001" customHeight="1">
      <c r="A224" s="1" t="s">
        <v>93</v>
      </c>
      <c r="B224" s="1" t="s">
        <v>23</v>
      </c>
      <c r="C224" s="1">
        <v>11.25</v>
      </c>
    </row>
    <row r="225" ht="13.800000000000001" customHeight="1">
      <c r="A225" s="1" t="s">
        <v>93</v>
      </c>
      <c r="B225" s="1" t="s">
        <v>43</v>
      </c>
      <c r="C225" s="1">
        <v>1.25</v>
      </c>
    </row>
    <row r="226" ht="13.800000000000001" customHeight="1">
      <c r="A226" s="1" t="s">
        <v>94</v>
      </c>
      <c r="B226" s="1" t="s">
        <v>53</v>
      </c>
      <c r="C226" s="1">
        <v>100</v>
      </c>
    </row>
    <row r="227" ht="13.800000000000001" customHeight="1">
      <c r="A227" s="1" t="s">
        <v>94</v>
      </c>
      <c r="B227" s="1" t="s">
        <v>54</v>
      </c>
      <c r="C227" s="1">
        <v>33.333300000000001</v>
      </c>
    </row>
    <row r="228" ht="13.800000000000001" customHeight="1">
      <c r="A228" s="1" t="s">
        <v>94</v>
      </c>
      <c r="B228" s="1" t="s">
        <v>38</v>
      </c>
      <c r="C228" s="1">
        <v>100</v>
      </c>
    </row>
    <row r="229" ht="13.800000000000001" customHeight="1">
      <c r="A229" s="1" t="s">
        <v>94</v>
      </c>
      <c r="B229" s="1" t="s">
        <v>55</v>
      </c>
      <c r="C229" s="1">
        <v>83.333299999999994</v>
      </c>
    </row>
    <row r="230" ht="13.800000000000001" customHeight="1">
      <c r="A230" s="1" t="s">
        <v>94</v>
      </c>
      <c r="B230" s="1" t="s">
        <v>56</v>
      </c>
      <c r="C230" s="1">
        <v>83.333299999999994</v>
      </c>
    </row>
    <row r="231" ht="13.800000000000001" customHeight="1">
      <c r="A231" s="1" t="s">
        <v>94</v>
      </c>
      <c r="B231" s="1" t="s">
        <v>57</v>
      </c>
      <c r="C231" s="1">
        <v>16.666699999999999</v>
      </c>
    </row>
    <row r="232" ht="13.800000000000001" customHeight="1">
      <c r="A232" s="1" t="s">
        <v>94</v>
      </c>
      <c r="B232" s="1" t="s">
        <v>9</v>
      </c>
      <c r="C232" s="1">
        <v>16.666699999999999</v>
      </c>
    </row>
    <row r="233" ht="13.800000000000001" customHeight="1">
      <c r="A233" s="1" t="s">
        <v>95</v>
      </c>
      <c r="B233" s="1" t="s">
        <v>53</v>
      </c>
      <c r="C233" s="1">
        <v>100</v>
      </c>
    </row>
    <row r="234" ht="13.800000000000001" customHeight="1">
      <c r="A234" s="1" t="s">
        <v>95</v>
      </c>
      <c r="B234" s="1" t="s">
        <v>54</v>
      </c>
      <c r="C234" s="1">
        <v>57.142899999999997</v>
      </c>
    </row>
    <row r="235" ht="13.800000000000001" customHeight="1">
      <c r="A235" s="1" t="s">
        <v>95</v>
      </c>
      <c r="B235" s="1" t="s">
        <v>38</v>
      </c>
      <c r="C235" s="1">
        <v>71.428600000000003</v>
      </c>
    </row>
    <row r="236" ht="13.800000000000001" customHeight="1">
      <c r="A236" s="1" t="s">
        <v>95</v>
      </c>
      <c r="B236" s="1" t="s">
        <v>55</v>
      </c>
      <c r="C236" s="1">
        <v>57.142899999999997</v>
      </c>
    </row>
    <row r="237" ht="13.800000000000001" customHeight="1">
      <c r="A237" s="1" t="s">
        <v>95</v>
      </c>
      <c r="B237" s="1" t="s">
        <v>56</v>
      </c>
      <c r="C237" s="1">
        <v>14.2857</v>
      </c>
    </row>
    <row r="238" ht="13.800000000000001" customHeight="1">
      <c r="A238" s="1" t="s">
        <v>96</v>
      </c>
      <c r="B238" s="1" t="s">
        <v>45</v>
      </c>
      <c r="C238" s="1">
        <v>50</v>
      </c>
    </row>
    <row r="239" ht="13.800000000000001" customHeight="1">
      <c r="A239" s="1" t="s">
        <v>96</v>
      </c>
      <c r="B239" s="1" t="s">
        <v>46</v>
      </c>
      <c r="C239" s="1">
        <v>12.5</v>
      </c>
    </row>
    <row r="240" ht="13.800000000000001" customHeight="1">
      <c r="A240" s="1" t="s">
        <v>96</v>
      </c>
      <c r="B240" s="1" t="s">
        <v>48</v>
      </c>
      <c r="C240" s="1">
        <v>50</v>
      </c>
    </row>
    <row r="241" ht="13.800000000000001" customHeight="1">
      <c r="A241" s="1" t="s">
        <v>96</v>
      </c>
      <c r="B241" s="1" t="s">
        <v>49</v>
      </c>
      <c r="C241" s="1">
        <v>62.5</v>
      </c>
    </row>
    <row r="242" ht="13.800000000000001" customHeight="1">
      <c r="A242" s="1" t="s">
        <v>96</v>
      </c>
      <c r="B242" s="1" t="s">
        <v>50</v>
      </c>
      <c r="C242" s="1">
        <v>75</v>
      </c>
    </row>
    <row r="243" ht="13.800000000000001" customHeight="1">
      <c r="A243" s="1" t="s">
        <v>96</v>
      </c>
      <c r="B243" s="1" t="s">
        <v>38</v>
      </c>
      <c r="C243" s="1">
        <v>100</v>
      </c>
    </row>
    <row r="244" ht="13.800000000000001" customHeight="1">
      <c r="A244" s="1" t="s">
        <v>96</v>
      </c>
      <c r="B244" s="1" t="s">
        <v>57</v>
      </c>
      <c r="C244" s="1">
        <v>12.5</v>
      </c>
    </row>
    <row r="245" ht="13.800000000000001" customHeight="1">
      <c r="A245" s="1" t="s">
        <v>97</v>
      </c>
      <c r="B245" s="1" t="s">
        <v>45</v>
      </c>
      <c r="C245" s="1">
        <v>26.666699999999999</v>
      </c>
    </row>
    <row r="246" ht="13.800000000000001" customHeight="1">
      <c r="A246" s="1" t="s">
        <v>97</v>
      </c>
      <c r="B246" s="1" t="s">
        <v>48</v>
      </c>
      <c r="C246" s="1">
        <v>33.333300000000001</v>
      </c>
    </row>
    <row r="247" ht="13.800000000000001" customHeight="1">
      <c r="A247" s="1" t="s">
        <v>97</v>
      </c>
      <c r="B247" s="1" t="s">
        <v>38</v>
      </c>
      <c r="C247" s="1">
        <v>100</v>
      </c>
    </row>
    <row r="248" ht="13.800000000000001" customHeight="1">
      <c r="A248" s="1" t="s">
        <v>97</v>
      </c>
      <c r="B248" s="1" t="s">
        <v>91</v>
      </c>
      <c r="C248" s="1">
        <v>6.6666999999999996</v>
      </c>
    </row>
    <row r="249" ht="13.800000000000001" customHeight="1">
      <c r="A249" s="1" t="s">
        <v>97</v>
      </c>
      <c r="B249" s="1" t="s">
        <v>51</v>
      </c>
      <c r="C249" s="1">
        <v>13.333299999999999</v>
      </c>
    </row>
    <row r="250" ht="13.800000000000001" customHeight="1">
      <c r="A250" s="1" t="s">
        <v>97</v>
      </c>
      <c r="B250" s="1" t="s">
        <v>55</v>
      </c>
      <c r="C250" s="1">
        <v>66.666700000000006</v>
      </c>
    </row>
    <row r="251" ht="13.800000000000001" customHeight="1">
      <c r="A251" s="1" t="s">
        <v>97</v>
      </c>
      <c r="B251" s="1" t="s">
        <v>57</v>
      </c>
      <c r="C251" s="1">
        <v>13.333299999999999</v>
      </c>
    </row>
    <row r="252" ht="13.800000000000001" customHeight="1">
      <c r="A252" s="1" t="s">
        <v>98</v>
      </c>
      <c r="B252" s="1" t="s">
        <v>53</v>
      </c>
      <c r="C252" s="1">
        <v>100</v>
      </c>
    </row>
    <row r="253" ht="13.800000000000001" customHeight="1">
      <c r="A253" s="1" t="s">
        <v>98</v>
      </c>
      <c r="B253" s="1" t="s">
        <v>38</v>
      </c>
      <c r="C253" s="1">
        <v>50</v>
      </c>
    </row>
    <row r="254" ht="13.800000000000001" customHeight="1">
      <c r="A254" s="1" t="s">
        <v>98</v>
      </c>
      <c r="B254" s="1" t="s">
        <v>55</v>
      </c>
      <c r="C254" s="1">
        <v>60</v>
      </c>
    </row>
    <row r="255" ht="13.800000000000001" customHeight="1">
      <c r="A255" s="1" t="s">
        <v>98</v>
      </c>
      <c r="B255" s="1" t="s">
        <v>56</v>
      </c>
      <c r="C255" s="1">
        <v>10</v>
      </c>
    </row>
    <row r="256" ht="13.800000000000001" customHeight="1">
      <c r="A256" s="1" t="s">
        <v>99</v>
      </c>
      <c r="B256" s="1" t="s">
        <v>59</v>
      </c>
      <c r="C256" s="1">
        <v>22</v>
      </c>
    </row>
    <row r="257" ht="13.800000000000001" customHeight="1">
      <c r="A257" s="1" t="s">
        <v>99</v>
      </c>
      <c r="B257" s="1" t="s">
        <v>63</v>
      </c>
      <c r="C257" s="1">
        <v>67</v>
      </c>
    </row>
    <row r="258" ht="13.800000000000001" customHeight="1">
      <c r="A258" s="1" t="s">
        <v>99</v>
      </c>
      <c r="B258" s="1" t="s">
        <v>100</v>
      </c>
      <c r="C258" s="1">
        <v>9</v>
      </c>
    </row>
    <row r="259" ht="13.800000000000001" customHeight="1">
      <c r="A259" s="1" t="s">
        <v>99</v>
      </c>
      <c r="B259" s="1" t="s">
        <v>11</v>
      </c>
      <c r="C259" s="1">
        <v>12</v>
      </c>
    </row>
    <row r="260" ht="13.800000000000001" customHeight="1">
      <c r="A260" s="1" t="s">
        <v>99</v>
      </c>
      <c r="B260" s="1" t="s">
        <v>101</v>
      </c>
      <c r="C260" s="1">
        <v>69</v>
      </c>
    </row>
    <row r="261" ht="13.800000000000001" customHeight="1">
      <c r="A261" s="1" t="s">
        <v>99</v>
      </c>
      <c r="B261" s="1" t="s">
        <v>102</v>
      </c>
      <c r="C261" s="1">
        <v>56</v>
      </c>
    </row>
    <row r="262" ht="13.800000000000001" customHeight="1">
      <c r="A262" s="1" t="s">
        <v>99</v>
      </c>
      <c r="B262" s="1" t="s">
        <v>5</v>
      </c>
      <c r="C262" s="1">
        <v>67</v>
      </c>
    </row>
    <row r="263" ht="13.800000000000001" customHeight="1">
      <c r="A263" s="1" t="s">
        <v>99</v>
      </c>
      <c r="B263" s="1" t="s">
        <v>12</v>
      </c>
      <c r="C263" s="1">
        <v>3</v>
      </c>
    </row>
    <row r="264" ht="13.800000000000001" customHeight="1">
      <c r="A264" s="1" t="s">
        <v>99</v>
      </c>
      <c r="B264" s="1" t="s">
        <v>33</v>
      </c>
      <c r="C264" s="1">
        <v>5</v>
      </c>
    </row>
    <row r="265" ht="13.800000000000001" customHeight="1">
      <c r="A265" s="1" t="s">
        <v>99</v>
      </c>
      <c r="B265" s="1" t="s">
        <v>103</v>
      </c>
      <c r="C265" s="1">
        <v>45</v>
      </c>
    </row>
    <row r="266" ht="13.800000000000001" customHeight="1">
      <c r="A266" s="1" t="s">
        <v>99</v>
      </c>
      <c r="B266" s="1" t="s">
        <v>28</v>
      </c>
      <c r="C266" s="1">
        <v>12</v>
      </c>
    </row>
    <row r="267" ht="13.800000000000001" customHeight="1">
      <c r="A267" s="1" t="s">
        <v>99</v>
      </c>
      <c r="B267" s="1" t="s">
        <v>48</v>
      </c>
      <c r="C267" s="1">
        <v>1</v>
      </c>
    </row>
    <row r="268" ht="13.800000000000001" customHeight="1">
      <c r="A268" s="1" t="s">
        <v>99</v>
      </c>
      <c r="B268" s="1" t="s">
        <v>13</v>
      </c>
      <c r="C268" s="1">
        <v>19</v>
      </c>
    </row>
    <row r="269" ht="14.25">
      <c r="A269" s="1" t="s">
        <v>99</v>
      </c>
      <c r="B269" s="1" t="s">
        <v>87</v>
      </c>
      <c r="C269" s="1">
        <v>1</v>
      </c>
    </row>
    <row r="270" ht="14.25">
      <c r="A270" s="1" t="s">
        <v>99</v>
      </c>
      <c r="B270" s="1" t="s">
        <v>104</v>
      </c>
      <c r="C270" s="1">
        <v>10</v>
      </c>
    </row>
    <row r="271" ht="14.25">
      <c r="A271" s="1" t="s">
        <v>99</v>
      </c>
      <c r="B271" s="1" t="s">
        <v>15</v>
      </c>
      <c r="C271" s="1">
        <v>21</v>
      </c>
    </row>
    <row r="272" ht="14.25">
      <c r="A272" s="1" t="s">
        <v>99</v>
      </c>
      <c r="B272" s="1" t="s">
        <v>16</v>
      </c>
      <c r="C272" s="1">
        <v>11</v>
      </c>
    </row>
    <row r="273" ht="14.25">
      <c r="A273" s="1" t="s">
        <v>99</v>
      </c>
      <c r="B273" s="1" t="s">
        <v>105</v>
      </c>
      <c r="C273" s="1">
        <v>2</v>
      </c>
    </row>
    <row r="274" ht="14.25">
      <c r="A274" s="1" t="s">
        <v>99</v>
      </c>
      <c r="B274" s="1" t="s">
        <v>36</v>
      </c>
      <c r="C274" s="1">
        <v>27</v>
      </c>
    </row>
    <row r="275" ht="14.25">
      <c r="A275" s="1" t="s">
        <v>99</v>
      </c>
      <c r="B275" s="1" t="s">
        <v>22</v>
      </c>
      <c r="C275" s="1">
        <v>3</v>
      </c>
    </row>
    <row r="276" ht="14.25">
      <c r="A276" s="1" t="s">
        <v>99</v>
      </c>
      <c r="B276" s="1" t="s">
        <v>23</v>
      </c>
      <c r="C276" s="1">
        <v>10</v>
      </c>
    </row>
    <row r="277" ht="14.25">
      <c r="A277" s="1" t="s">
        <v>99</v>
      </c>
      <c r="B277" s="1" t="s">
        <v>24</v>
      </c>
      <c r="C277" s="1">
        <v>3</v>
      </c>
    </row>
    <row r="278" ht="14.25">
      <c r="A278" s="1" t="s">
        <v>99</v>
      </c>
      <c r="B278" s="1" t="s">
        <v>66</v>
      </c>
      <c r="C278" s="1">
        <v>2</v>
      </c>
    </row>
    <row r="279" ht="14.25">
      <c r="A279" s="1" t="s">
        <v>106</v>
      </c>
      <c r="B279" s="1" t="s">
        <v>101</v>
      </c>
      <c r="C279" s="1">
        <v>10</v>
      </c>
    </row>
    <row r="280" ht="14.25">
      <c r="A280" s="1" t="s">
        <v>106</v>
      </c>
      <c r="B280" s="1" t="s">
        <v>5</v>
      </c>
      <c r="C280" s="1">
        <v>2.5</v>
      </c>
    </row>
    <row r="281" ht="14.25">
      <c r="A281" s="1" t="s">
        <v>106</v>
      </c>
      <c r="B281" s="1" t="s">
        <v>12</v>
      </c>
      <c r="C281" s="1">
        <v>42.5</v>
      </c>
    </row>
    <row r="282" ht="14.25">
      <c r="A282" s="1" t="s">
        <v>106</v>
      </c>
      <c r="B282" s="1" t="s">
        <v>48</v>
      </c>
      <c r="C282" s="1">
        <v>5</v>
      </c>
    </row>
    <row r="283" ht="14.25">
      <c r="A283" s="1" t="s">
        <v>106</v>
      </c>
      <c r="B283" s="1" t="s">
        <v>13</v>
      </c>
      <c r="C283" s="1">
        <v>92.5</v>
      </c>
    </row>
    <row r="284" ht="14.25">
      <c r="A284" s="1" t="s">
        <v>106</v>
      </c>
      <c r="B284" s="1" t="s">
        <v>87</v>
      </c>
      <c r="C284" s="1">
        <v>15</v>
      </c>
    </row>
    <row r="285" ht="14.25">
      <c r="A285" s="1" t="s">
        <v>106</v>
      </c>
      <c r="B285" s="1" t="s">
        <v>35</v>
      </c>
      <c r="C285" s="1">
        <v>75</v>
      </c>
    </row>
    <row r="286" ht="14.25">
      <c r="A286" s="1" t="s">
        <v>106</v>
      </c>
      <c r="B286" s="1" t="s">
        <v>104</v>
      </c>
      <c r="C286" s="1">
        <v>37.5</v>
      </c>
    </row>
    <row r="287" ht="14.25">
      <c r="A287" s="1" t="s">
        <v>106</v>
      </c>
      <c r="B287" s="1" t="s">
        <v>15</v>
      </c>
      <c r="C287" s="1">
        <v>7.5</v>
      </c>
    </row>
    <row r="288" ht="14.25">
      <c r="A288" s="1" t="s">
        <v>106</v>
      </c>
      <c r="B288" s="1" t="s">
        <v>16</v>
      </c>
      <c r="C288" s="1">
        <v>5</v>
      </c>
    </row>
    <row r="289" ht="14.25">
      <c r="A289" s="1" t="s">
        <v>106</v>
      </c>
      <c r="B289" s="1" t="s">
        <v>105</v>
      </c>
      <c r="C289" s="1">
        <v>60</v>
      </c>
    </row>
    <row r="290" ht="14.25">
      <c r="A290" s="1" t="s">
        <v>106</v>
      </c>
      <c r="B290" s="1" t="s">
        <v>36</v>
      </c>
      <c r="C290" s="1">
        <v>97.5</v>
      </c>
    </row>
    <row r="291" ht="14.25">
      <c r="A291" s="1" t="s">
        <v>106</v>
      </c>
      <c r="B291" s="1" t="s">
        <v>23</v>
      </c>
      <c r="C291" s="1">
        <v>12.5</v>
      </c>
    </row>
    <row r="292" ht="14.25">
      <c r="A292" s="1" t="s">
        <v>106</v>
      </c>
      <c r="B292" s="1" t="s">
        <v>24</v>
      </c>
      <c r="C292" s="1">
        <v>12.5</v>
      </c>
    </row>
    <row r="293" ht="14.25">
      <c r="A293" s="1" t="s">
        <v>106</v>
      </c>
      <c r="B293" s="1" t="s">
        <v>43</v>
      </c>
      <c r="C293" s="1">
        <v>5</v>
      </c>
    </row>
    <row r="294" ht="14.25">
      <c r="A294" s="1" t="s">
        <v>107</v>
      </c>
      <c r="B294" s="1" t="s">
        <v>12</v>
      </c>
      <c r="C294" s="1">
        <v>5</v>
      </c>
    </row>
    <row r="295" ht="14.25">
      <c r="A295" s="1" t="s">
        <v>107</v>
      </c>
      <c r="B295" s="1" t="s">
        <v>13</v>
      </c>
      <c r="C295" s="1">
        <v>87.5</v>
      </c>
    </row>
    <row r="296" ht="14.25">
      <c r="A296" s="1" t="s">
        <v>107</v>
      </c>
      <c r="B296" s="1" t="s">
        <v>87</v>
      </c>
      <c r="C296" s="1">
        <v>35</v>
      </c>
    </row>
    <row r="297" ht="14.25">
      <c r="A297" s="1" t="s">
        <v>107</v>
      </c>
      <c r="B297" s="1" t="s">
        <v>34</v>
      </c>
      <c r="C297" s="1">
        <v>5</v>
      </c>
    </row>
    <row r="298" ht="14.25">
      <c r="A298" s="1" t="s">
        <v>107</v>
      </c>
      <c r="B298" s="1" t="s">
        <v>35</v>
      </c>
      <c r="C298" s="1">
        <v>92.5</v>
      </c>
    </row>
    <row r="299" ht="14.25">
      <c r="A299" s="1" t="s">
        <v>107</v>
      </c>
      <c r="B299" s="1" t="s">
        <v>104</v>
      </c>
      <c r="C299" s="1">
        <v>15</v>
      </c>
    </row>
    <row r="300" ht="14.25">
      <c r="A300" s="1" t="s">
        <v>107</v>
      </c>
      <c r="B300" s="1" t="s">
        <v>15</v>
      </c>
      <c r="C300" s="1">
        <v>47.5</v>
      </c>
    </row>
    <row r="301" ht="14.25">
      <c r="A301" s="1" t="s">
        <v>107</v>
      </c>
      <c r="B301" s="1" t="s">
        <v>105</v>
      </c>
      <c r="C301" s="1">
        <v>2.5</v>
      </c>
    </row>
    <row r="302" ht="14.25">
      <c r="A302" s="1" t="s">
        <v>107</v>
      </c>
      <c r="B302" s="1" t="s">
        <v>36</v>
      </c>
      <c r="C302" s="1">
        <v>97.5</v>
      </c>
    </row>
    <row r="303" ht="14.25">
      <c r="A303" s="1" t="s">
        <v>107</v>
      </c>
      <c r="B303" s="1" t="s">
        <v>38</v>
      </c>
      <c r="C303" s="1">
        <v>17.5</v>
      </c>
    </row>
    <row r="304" ht="14.25">
      <c r="A304" s="1" t="s">
        <v>107</v>
      </c>
      <c r="B304" s="1" t="s">
        <v>23</v>
      </c>
      <c r="C304" s="1">
        <v>57.5</v>
      </c>
    </row>
    <row r="305" ht="14.25">
      <c r="A305" s="1" t="s">
        <v>107</v>
      </c>
      <c r="B305" s="1" t="s">
        <v>43</v>
      </c>
      <c r="C305" s="1">
        <v>5</v>
      </c>
    </row>
    <row r="306" ht="14.25">
      <c r="A306" s="1" t="s">
        <v>108</v>
      </c>
      <c r="B306" s="1" t="s">
        <v>13</v>
      </c>
      <c r="C306" s="1">
        <v>33.329999999999998</v>
      </c>
    </row>
    <row r="307" ht="14.25">
      <c r="A307" s="1" t="s">
        <v>108</v>
      </c>
      <c r="B307" s="1" t="s">
        <v>34</v>
      </c>
      <c r="C307" s="1">
        <v>6.6699999999999999</v>
      </c>
    </row>
    <row r="308" ht="14.25">
      <c r="A308" s="1" t="s">
        <v>108</v>
      </c>
      <c r="B308" s="1" t="s">
        <v>35</v>
      </c>
      <c r="C308" s="1">
        <v>30</v>
      </c>
    </row>
    <row r="309" ht="14.25">
      <c r="A309" s="1" t="s">
        <v>108</v>
      </c>
      <c r="B309" s="1" t="s">
        <v>21</v>
      </c>
      <c r="C309" s="1">
        <v>6.6699999999999999</v>
      </c>
    </row>
    <row r="310" ht="14.25">
      <c r="A310" s="1" t="s">
        <v>108</v>
      </c>
      <c r="B310" s="1" t="s">
        <v>14</v>
      </c>
      <c r="C310" s="1">
        <v>6.6699999999999999</v>
      </c>
    </row>
    <row r="311" ht="14.25">
      <c r="A311" s="1" t="s">
        <v>108</v>
      </c>
      <c r="B311" s="1" t="s">
        <v>15</v>
      </c>
      <c r="C311" s="1">
        <v>3.3300000000000001</v>
      </c>
    </row>
    <row r="312" ht="14.25">
      <c r="A312" s="1" t="s">
        <v>108</v>
      </c>
      <c r="B312" s="1" t="s">
        <v>105</v>
      </c>
      <c r="C312" s="1">
        <v>13.33</v>
      </c>
    </row>
    <row r="313" ht="14.25">
      <c r="A313" s="1" t="s">
        <v>108</v>
      </c>
      <c r="B313" s="1" t="s">
        <v>29</v>
      </c>
      <c r="C313" s="1">
        <v>10</v>
      </c>
    </row>
    <row r="314" ht="14.25">
      <c r="A314" s="1" t="s">
        <v>108</v>
      </c>
      <c r="B314" s="1" t="s">
        <v>18</v>
      </c>
      <c r="C314" s="1">
        <v>86.670000000000002</v>
      </c>
    </row>
    <row r="315" ht="14.25">
      <c r="A315" s="1" t="s">
        <v>108</v>
      </c>
      <c r="B315" s="1" t="s">
        <v>109</v>
      </c>
      <c r="C315" s="1">
        <v>76.670000000000002</v>
      </c>
    </row>
    <row r="316" ht="14.25">
      <c r="A316" s="1" t="s">
        <v>108</v>
      </c>
      <c r="B316" s="1" t="s">
        <v>23</v>
      </c>
      <c r="C316" s="1">
        <v>3.3300000000000001</v>
      </c>
    </row>
    <row r="317" ht="14.25">
      <c r="A317" s="1" t="s">
        <v>110</v>
      </c>
      <c r="B317" s="1" t="s">
        <v>5</v>
      </c>
      <c r="C317" s="1">
        <v>65</v>
      </c>
    </row>
    <row r="318" ht="14.25">
      <c r="A318" s="1" t="s">
        <v>110</v>
      </c>
      <c r="B318" s="1" t="s">
        <v>29</v>
      </c>
      <c r="C318" s="1">
        <v>70</v>
      </c>
    </row>
    <row r="319" ht="14.25">
      <c r="A319" s="1" t="s">
        <v>110</v>
      </c>
      <c r="B319" s="1" t="s">
        <v>38</v>
      </c>
      <c r="C319" s="1">
        <v>20</v>
      </c>
    </row>
    <row r="320" ht="14.25">
      <c r="A320" s="1" t="s">
        <v>110</v>
      </c>
      <c r="B320" s="1" t="s">
        <v>109</v>
      </c>
      <c r="C320" s="1">
        <v>10</v>
      </c>
    </row>
    <row r="321" ht="14.25">
      <c r="A321" s="1" t="s">
        <v>110</v>
      </c>
      <c r="B321" s="1" t="s">
        <v>24</v>
      </c>
      <c r="C321" s="1">
        <v>15</v>
      </c>
    </row>
    <row r="322" ht="14.25">
      <c r="A322" s="1" t="s">
        <v>110</v>
      </c>
      <c r="B322" s="1" t="s">
        <v>56</v>
      </c>
      <c r="C322" s="1">
        <v>5</v>
      </c>
    </row>
    <row r="323" ht="14.25">
      <c r="A323" s="1" t="s">
        <v>111</v>
      </c>
      <c r="B323" s="1" t="s">
        <v>38</v>
      </c>
      <c r="C323" s="1">
        <v>10</v>
      </c>
    </row>
    <row r="324" ht="14.25">
      <c r="A324" s="1" t="s">
        <v>111</v>
      </c>
      <c r="B324" s="1" t="s">
        <v>112</v>
      </c>
      <c r="C324" s="1">
        <v>30</v>
      </c>
    </row>
    <row r="325" ht="14.25">
      <c r="A325" s="1" t="s">
        <v>111</v>
      </c>
      <c r="B325" s="1" t="s">
        <v>113</v>
      </c>
      <c r="C325" s="1">
        <v>10</v>
      </c>
    </row>
    <row r="326" ht="14.25">
      <c r="A326" s="1" t="s">
        <v>111</v>
      </c>
      <c r="B326" s="1" t="s">
        <v>43</v>
      </c>
      <c r="C326" s="1">
        <v>75</v>
      </c>
    </row>
    <row r="327" ht="14.25">
      <c r="A327" s="1" t="s">
        <v>111</v>
      </c>
      <c r="B327" s="1" t="s">
        <v>56</v>
      </c>
      <c r="C327" s="1">
        <v>86.6666666666667</v>
      </c>
    </row>
    <row r="328" ht="14.25">
      <c r="A328" s="1" t="s">
        <v>111</v>
      </c>
      <c r="B328" s="1" t="s">
        <v>57</v>
      </c>
      <c r="C328" s="1">
        <v>25</v>
      </c>
    </row>
    <row r="329" ht="14.25">
      <c r="A329" s="1" t="s">
        <v>114</v>
      </c>
      <c r="B329" s="1" t="s">
        <v>102</v>
      </c>
      <c r="C329" s="1">
        <v>3.125</v>
      </c>
    </row>
    <row r="330" ht="14.25">
      <c r="A330" s="1" t="s">
        <v>114</v>
      </c>
      <c r="B330" s="1" t="s">
        <v>5</v>
      </c>
      <c r="C330" s="1">
        <v>15.625</v>
      </c>
    </row>
    <row r="331" ht="14.25">
      <c r="A331" s="1" t="s">
        <v>114</v>
      </c>
      <c r="B331" s="1" t="s">
        <v>115</v>
      </c>
      <c r="C331" s="1">
        <v>6.25</v>
      </c>
    </row>
    <row r="332" ht="14.25">
      <c r="A332" s="1" t="s">
        <v>114</v>
      </c>
      <c r="B332" s="1" t="s">
        <v>116</v>
      </c>
      <c r="C332" s="1">
        <v>6.25</v>
      </c>
    </row>
    <row r="333" ht="14.25">
      <c r="A333" s="1" t="s">
        <v>114</v>
      </c>
      <c r="B333" s="1" t="s">
        <v>34</v>
      </c>
      <c r="C333" s="1">
        <v>3.125</v>
      </c>
    </row>
    <row r="334" ht="14.25">
      <c r="A334" s="1" t="s">
        <v>114</v>
      </c>
      <c r="B334" s="1" t="s">
        <v>35</v>
      </c>
      <c r="C334" s="1">
        <v>25</v>
      </c>
    </row>
    <row r="335" ht="14.25">
      <c r="A335" s="1" t="s">
        <v>114</v>
      </c>
      <c r="B335" s="1" t="s">
        <v>21</v>
      </c>
      <c r="C335" s="1">
        <v>3.125</v>
      </c>
    </row>
    <row r="336" ht="14.25">
      <c r="A336" s="1" t="s">
        <v>114</v>
      </c>
      <c r="B336" s="1" t="s">
        <v>117</v>
      </c>
      <c r="C336" s="1">
        <v>3.125</v>
      </c>
    </row>
    <row r="337" ht="14.25">
      <c r="A337" s="1" t="s">
        <v>114</v>
      </c>
      <c r="B337" s="1" t="s">
        <v>36</v>
      </c>
      <c r="C337" s="1">
        <v>18.75</v>
      </c>
    </row>
    <row r="338" ht="14.25">
      <c r="A338" s="1" t="s">
        <v>114</v>
      </c>
      <c r="B338" s="1" t="s">
        <v>30</v>
      </c>
      <c r="C338" s="1">
        <v>15.625</v>
      </c>
    </row>
    <row r="339" ht="14.25">
      <c r="A339" s="1" t="s">
        <v>114</v>
      </c>
      <c r="B339" s="1" t="s">
        <v>38</v>
      </c>
      <c r="C339" s="1">
        <v>34.375</v>
      </c>
    </row>
    <row r="340" ht="14.25">
      <c r="A340" s="1" t="s">
        <v>114</v>
      </c>
      <c r="B340" s="1" t="s">
        <v>118</v>
      </c>
      <c r="C340" s="1">
        <v>6.25</v>
      </c>
    </row>
    <row r="341" ht="14.25">
      <c r="A341" s="1" t="s">
        <v>114</v>
      </c>
      <c r="B341" s="1" t="s">
        <v>24</v>
      </c>
      <c r="C341" s="1">
        <v>6.25</v>
      </c>
    </row>
    <row r="342" ht="14.25">
      <c r="A342" s="1" t="s">
        <v>119</v>
      </c>
      <c r="B342" s="1" t="s">
        <v>120</v>
      </c>
      <c r="C342" s="1">
        <v>6</v>
      </c>
    </row>
    <row r="343" ht="14.25">
      <c r="A343" s="1" t="s">
        <v>119</v>
      </c>
      <c r="B343" s="1" t="s">
        <v>5</v>
      </c>
      <c r="C343" s="1">
        <v>17</v>
      </c>
    </row>
    <row r="344" ht="14.25">
      <c r="A344" s="1" t="s">
        <v>119</v>
      </c>
      <c r="B344" s="1" t="s">
        <v>121</v>
      </c>
      <c r="C344" s="1">
        <v>2</v>
      </c>
    </row>
    <row r="345" ht="14.25">
      <c r="A345" s="1" t="s">
        <v>119</v>
      </c>
      <c r="B345" s="1" t="s">
        <v>77</v>
      </c>
      <c r="C345" s="1">
        <v>3</v>
      </c>
    </row>
    <row r="346" ht="14.25">
      <c r="A346" s="1" t="s">
        <v>119</v>
      </c>
      <c r="B346" s="1" t="s">
        <v>29</v>
      </c>
      <c r="C346" s="1">
        <v>2</v>
      </c>
    </row>
    <row r="347" ht="14.25">
      <c r="A347" s="1" t="s">
        <v>119</v>
      </c>
      <c r="B347" s="1" t="s">
        <v>29</v>
      </c>
      <c r="C347" s="1">
        <v>3</v>
      </c>
    </row>
    <row r="348" ht="14.25">
      <c r="A348" s="1" t="s">
        <v>119</v>
      </c>
      <c r="B348" s="1" t="s">
        <v>36</v>
      </c>
      <c r="C348" s="1">
        <v>3</v>
      </c>
    </row>
    <row r="349" ht="14.25">
      <c r="A349" s="1" t="s">
        <v>119</v>
      </c>
      <c r="B349" s="1" t="s">
        <v>38</v>
      </c>
      <c r="C349" s="1">
        <v>48</v>
      </c>
    </row>
    <row r="350" ht="14.25">
      <c r="A350" s="1" t="s">
        <v>119</v>
      </c>
      <c r="B350" s="1" t="s">
        <v>122</v>
      </c>
      <c r="C350" s="1">
        <v>6</v>
      </c>
    </row>
    <row r="351" ht="14.25">
      <c r="A351" s="1" t="s">
        <v>119</v>
      </c>
      <c r="B351" s="1" t="s">
        <v>118</v>
      </c>
      <c r="C351" s="1">
        <v>2</v>
      </c>
    </row>
    <row r="352" ht="14.25">
      <c r="A352" s="1" t="s">
        <v>119</v>
      </c>
      <c r="B352" s="1" t="s">
        <v>56</v>
      </c>
      <c r="C352" s="1">
        <v>2</v>
      </c>
    </row>
    <row r="353" ht="14.25">
      <c r="A353" s="1" t="s">
        <v>119</v>
      </c>
      <c r="B353" s="1" t="s">
        <v>123</v>
      </c>
      <c r="C353" s="1">
        <v>2</v>
      </c>
    </row>
  </sheetData>
  <autoFilter ref="A1:C353">
    <sortState ref="A2:C353">
      <sortCondition ref="A2:A353"/>
    </sortState>
  </autoFilter>
  <printOptions headings="0" gridLines="0" horizontalCentered="0" verticalCentered="0"/>
  <pageMargins left="0.51180555555555596" right="0.51180555555555596" top="0.78750000000000009" bottom="0.78750000000000009"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1">
    <outlinePr applyStyles="0" summaryBelow="1" summaryRight="1" showOutlineSymbols="1"/>
    <pageSetUpPr autoPageBreaks="1" fitToPage="0"/>
  </sheetPr>
  <sheetViews>
    <sheetView showFormulas="0" showGridLines="1" showRowColHeaders="1" showZeros="1" rightToLeft="0" view="normal" zoomScale="120" workbookViewId="0">
      <pane xSplit="1" ySplit="1" topLeftCell="B2" activePane="bottomRight" state="frozen"/>
      <selection activeCell="E10" activeCellId="0" sqref="E10"/>
    </sheetView>
  </sheetViews>
  <sheetFormatPr defaultColWidth="11.53515625" defaultRowHeight="14.25" customHeight="1"/>
  <cols>
    <col customWidth="1" min="1" max="1" style="1" width="13.710000000000001"/>
    <col customWidth="1" min="2" max="2" style="1" width="12.859999999999999"/>
    <col customWidth="1" min="3" max="3" style="1" width="20.140000000000001"/>
    <col customWidth="1" min="4" max="4" style="1" width="13.029999999999999"/>
    <col customWidth="1" min="5" max="5" style="1" width="13.9"/>
    <col customWidth="1" min="6" max="6" style="1" width="19.120000000000001"/>
    <col customWidth="1" min="7" max="7" style="1" width="12.109999999999999"/>
    <col customWidth="0" min="8" max="16370" style="1" width="11.529999999999999"/>
    <col customWidth="1" min="16371" max="16374" style="1" width="10.16"/>
    <col customWidth="0" min="16375" max="16384" style="1" width="11.529999999999999"/>
  </cols>
  <sheetData>
    <row r="1" ht="14.25">
      <c r="A1" s="1" t="s">
        <v>0</v>
      </c>
      <c r="B1" s="1" t="s">
        <v>124</v>
      </c>
      <c r="C1" s="1" t="s">
        <v>125</v>
      </c>
      <c r="D1" s="1" t="s">
        <v>126</v>
      </c>
      <c r="E1" s="1" t="s">
        <v>127</v>
      </c>
      <c r="F1" s="1" t="s">
        <v>128</v>
      </c>
      <c r="G1" s="1" t="s">
        <v>129</v>
      </c>
      <c r="H1" s="1" t="s">
        <v>130</v>
      </c>
      <c r="I1" s="1" t="s">
        <v>131</v>
      </c>
      <c r="J1" s="1" t="s">
        <v>132</v>
      </c>
      <c r="K1" s="1" t="s">
        <v>133</v>
      </c>
      <c r="L1" s="1" t="s">
        <v>134</v>
      </c>
      <c r="M1" s="1" t="s">
        <v>135</v>
      </c>
      <c r="N1" s="1" t="s">
        <v>136</v>
      </c>
      <c r="O1" s="1" t="s">
        <v>137</v>
      </c>
      <c r="P1" s="1" t="s">
        <v>138</v>
      </c>
    </row>
    <row r="2" ht="14.25">
      <c r="A2" s="1" t="s">
        <v>3</v>
      </c>
      <c r="B2" s="1">
        <v>4</v>
      </c>
      <c r="C2" s="1">
        <v>480</v>
      </c>
      <c r="D2" s="3">
        <v>-25.563548000000001</v>
      </c>
      <c r="E2" s="3">
        <v>-48.309151999999997</v>
      </c>
      <c r="F2" s="1" t="s">
        <v>139</v>
      </c>
      <c r="G2" s="4">
        <v>42.255035400390597</v>
      </c>
      <c r="H2" s="4">
        <v>2100</v>
      </c>
      <c r="I2" s="4">
        <v>24.879165649414102</v>
      </c>
      <c r="J2" s="5">
        <v>24.800000000000001</v>
      </c>
      <c r="K2" s="5">
        <v>34.399999999999999</v>
      </c>
      <c r="L2" s="5">
        <v>4.6900000000000004</v>
      </c>
      <c r="M2" s="1">
        <v>3.5</v>
      </c>
      <c r="N2" s="1">
        <v>3.3999999999999999</v>
      </c>
      <c r="O2" s="1">
        <v>5.2999999999999998</v>
      </c>
      <c r="P2" s="1" t="s">
        <v>140</v>
      </c>
    </row>
    <row r="3" ht="14.25">
      <c r="A3" s="1" t="s">
        <v>10</v>
      </c>
      <c r="B3" s="1">
        <v>25</v>
      </c>
      <c r="C3" s="1">
        <v>250</v>
      </c>
      <c r="D3" s="3">
        <v>-29.593205999999999</v>
      </c>
      <c r="E3" s="3">
        <v>-51.140300000000003</v>
      </c>
      <c r="F3" s="1" t="s">
        <v>141</v>
      </c>
      <c r="G3" s="4">
        <v>9.9946022033691406</v>
      </c>
      <c r="H3" s="4">
        <v>1553</v>
      </c>
      <c r="I3" s="4">
        <v>23.362499237060501</v>
      </c>
      <c r="J3" s="5">
        <v>20.5</v>
      </c>
      <c r="K3" s="5">
        <v>28.899999999999999</v>
      </c>
      <c r="L3" s="5">
        <v>4.3600000000000003</v>
      </c>
      <c r="M3" s="1">
        <v>4.4000000000000004</v>
      </c>
      <c r="N3" s="1">
        <v>3.6000000000000001</v>
      </c>
      <c r="O3" s="1">
        <v>3.3999999999999999</v>
      </c>
      <c r="P3" s="1" t="s">
        <v>142</v>
      </c>
    </row>
    <row r="4" ht="14.25">
      <c r="A4" s="1" t="s">
        <v>19</v>
      </c>
      <c r="B4" s="1">
        <v>25</v>
      </c>
      <c r="C4" s="1">
        <v>250</v>
      </c>
      <c r="D4" s="3">
        <v>-29.595517000000001</v>
      </c>
      <c r="E4" s="3">
        <v>-51.190300000000001</v>
      </c>
      <c r="F4" s="1" t="s">
        <v>141</v>
      </c>
      <c r="G4" s="4">
        <v>10.4638376235962</v>
      </c>
      <c r="H4" s="4">
        <v>1515</v>
      </c>
      <c r="I4" s="4">
        <v>23.574001312255898</v>
      </c>
      <c r="J4" s="5">
        <v>21.899999999999999</v>
      </c>
      <c r="K4" s="5">
        <v>30.399999999999999</v>
      </c>
      <c r="L4" s="5">
        <v>4.1799999999999997</v>
      </c>
      <c r="M4" s="1">
        <v>4.5999999999999996</v>
      </c>
      <c r="N4" s="1">
        <v>3.5</v>
      </c>
      <c r="O4" s="1">
        <v>3.2000000000000002</v>
      </c>
      <c r="P4" s="1" t="s">
        <v>142</v>
      </c>
    </row>
    <row r="5" ht="14.25">
      <c r="A5" s="1" t="s">
        <v>25</v>
      </c>
      <c r="B5" s="1">
        <v>25</v>
      </c>
      <c r="C5" s="1">
        <v>600</v>
      </c>
      <c r="D5" s="3">
        <v>-29.392778</v>
      </c>
      <c r="E5" s="3">
        <v>-50.692222000000001</v>
      </c>
      <c r="F5" s="1" t="s">
        <v>143</v>
      </c>
      <c r="G5" s="4">
        <v>9.8715257644653303</v>
      </c>
      <c r="H5" s="4">
        <v>1925</v>
      </c>
      <c r="I5" s="4">
        <v>20.1410007476807</v>
      </c>
      <c r="J5" s="5">
        <v>24.5</v>
      </c>
      <c r="K5" s="5">
        <v>47</v>
      </c>
      <c r="L5" s="5">
        <v>5.5</v>
      </c>
      <c r="M5" s="1">
        <v>4.2999999999999998</v>
      </c>
      <c r="N5" s="1">
        <v>1.8</v>
      </c>
      <c r="O5" s="1">
        <v>4</v>
      </c>
      <c r="P5" s="1" t="s">
        <v>144</v>
      </c>
    </row>
    <row r="6" ht="14.25">
      <c r="A6" s="1" t="s">
        <v>31</v>
      </c>
      <c r="B6" s="1">
        <v>25</v>
      </c>
      <c r="C6" s="1">
        <v>250</v>
      </c>
      <c r="D6" s="3">
        <v>-29.546382999999999</v>
      </c>
      <c r="E6" s="3">
        <v>-51.130650000000003</v>
      </c>
      <c r="F6" s="1" t="s">
        <v>141</v>
      </c>
      <c r="G6" s="4">
        <v>9.9899091720581108</v>
      </c>
      <c r="H6" s="4">
        <v>1625</v>
      </c>
      <c r="I6" s="4">
        <v>22.3950004577637</v>
      </c>
      <c r="J6" s="5">
        <v>20.399999999999999</v>
      </c>
      <c r="K6" s="5">
        <v>41.100000000000001</v>
      </c>
      <c r="L6" s="5">
        <v>5.0099999999999998</v>
      </c>
      <c r="M6" s="1">
        <v>4.2999999999999998</v>
      </c>
      <c r="N6" s="1">
        <v>2.1000000000000001</v>
      </c>
      <c r="O6" s="1">
        <v>3.2000000000000002</v>
      </c>
      <c r="P6" s="1" t="s">
        <v>142</v>
      </c>
    </row>
    <row r="7" ht="14.25">
      <c r="A7" s="1" t="s">
        <v>39</v>
      </c>
      <c r="B7" s="1">
        <v>25</v>
      </c>
      <c r="C7" s="1">
        <v>600</v>
      </c>
      <c r="D7" s="3">
        <v>-29.583333</v>
      </c>
      <c r="E7" s="3">
        <v>-50.433332999999998</v>
      </c>
      <c r="F7" s="1" t="s">
        <v>141</v>
      </c>
      <c r="G7" s="4">
        <v>10.113278388977101</v>
      </c>
      <c r="H7" s="4">
        <v>1845</v>
      </c>
      <c r="I7" s="4">
        <v>20.702499389648398</v>
      </c>
      <c r="J7" s="5">
        <v>20.899999999999999</v>
      </c>
      <c r="K7" s="5">
        <v>35.600000000000001</v>
      </c>
      <c r="L7" s="5">
        <v>5.4100000000000001</v>
      </c>
      <c r="M7" s="1">
        <v>4.9000000000000004</v>
      </c>
      <c r="N7" s="1">
        <v>2.6000000000000001</v>
      </c>
      <c r="O7" s="1">
        <v>3.2999999999999998</v>
      </c>
      <c r="P7" s="1" t="s">
        <v>144</v>
      </c>
    </row>
    <row r="8" ht="14.25">
      <c r="A8" s="1" t="s">
        <v>44</v>
      </c>
      <c r="B8" s="1">
        <v>100</v>
      </c>
      <c r="C8" s="1">
        <v>500</v>
      </c>
      <c r="D8" s="6">
        <v>-32.021165224100002</v>
      </c>
      <c r="E8" s="6">
        <v>-52.2499380215</v>
      </c>
      <c r="F8" s="1" t="s">
        <v>145</v>
      </c>
      <c r="G8" s="4">
        <v>17.6270542144775</v>
      </c>
      <c r="H8" s="4">
        <v>1245</v>
      </c>
      <c r="I8" s="4">
        <v>23.593910217285199</v>
      </c>
      <c r="J8" s="5">
        <v>26.199999999999999</v>
      </c>
      <c r="K8" s="5">
        <v>26.100000000000001</v>
      </c>
      <c r="L8" s="5">
        <v>4.6399999999999997</v>
      </c>
      <c r="M8" s="1">
        <v>3.6000000000000001</v>
      </c>
      <c r="N8" s="1">
        <v>2.8999999999999999</v>
      </c>
      <c r="O8" s="1">
        <v>4.2999999999999998</v>
      </c>
      <c r="P8" s="1" t="s">
        <v>146</v>
      </c>
    </row>
    <row r="9" ht="14.25">
      <c r="A9" s="1" t="s">
        <v>52</v>
      </c>
      <c r="B9" s="1">
        <v>100</v>
      </c>
      <c r="C9" s="1">
        <v>1000</v>
      </c>
      <c r="D9" s="6">
        <v>-30.0879334107</v>
      </c>
      <c r="E9" s="6">
        <v>-50.235891228500002</v>
      </c>
      <c r="F9" s="1" t="s">
        <v>145</v>
      </c>
      <c r="G9" s="4">
        <v>13.411283493041999</v>
      </c>
      <c r="H9" s="4">
        <v>1511</v>
      </c>
      <c r="I9" s="4">
        <v>23.466667175293001</v>
      </c>
      <c r="J9" s="5">
        <v>22.800000000000001</v>
      </c>
      <c r="K9" s="5">
        <v>21.899999999999999</v>
      </c>
      <c r="L9" s="5">
        <v>4.8399999999999999</v>
      </c>
      <c r="M9" s="1">
        <v>4.7999999999999998</v>
      </c>
      <c r="N9" s="1">
        <v>5.5999999999999996</v>
      </c>
      <c r="O9" s="1">
        <v>4</v>
      </c>
      <c r="P9" s="1" t="s">
        <v>146</v>
      </c>
    </row>
    <row r="10" ht="14.25">
      <c r="A10" s="1" t="s">
        <v>58</v>
      </c>
      <c r="B10" s="1">
        <v>100</v>
      </c>
      <c r="C10" s="1">
        <f>100*10</f>
        <v>1000</v>
      </c>
      <c r="D10" s="3">
        <v>-31.498150583000001</v>
      </c>
      <c r="E10" s="3">
        <v>-52.712827330000003</v>
      </c>
      <c r="F10" s="1" t="s">
        <v>141</v>
      </c>
      <c r="G10" s="4">
        <v>14.887642860412599</v>
      </c>
      <c r="H10" s="4">
        <v>1456</v>
      </c>
      <c r="I10" s="4">
        <v>22.637500762939499</v>
      </c>
      <c r="J10" s="5">
        <v>16.300000000000001</v>
      </c>
      <c r="K10" s="5">
        <v>22.399999999999999</v>
      </c>
      <c r="L10" s="5">
        <v>3.6600000000000001</v>
      </c>
      <c r="M10" s="1">
        <v>3</v>
      </c>
      <c r="N10" s="1">
        <v>2.8999999999999999</v>
      </c>
      <c r="O10" s="1">
        <v>2.3999999999999999</v>
      </c>
      <c r="P10" s="1" t="s">
        <v>146</v>
      </c>
    </row>
    <row r="11" ht="14.25">
      <c r="A11" s="1" t="s">
        <v>64</v>
      </c>
      <c r="B11" s="1">
        <v>100</v>
      </c>
      <c r="C11" s="1">
        <v>1900</v>
      </c>
      <c r="D11" s="6">
        <v>-29.334814444100001</v>
      </c>
      <c r="E11" s="6">
        <v>-49.839226742999998</v>
      </c>
      <c r="F11" s="1" t="s">
        <v>139</v>
      </c>
      <c r="G11" s="4">
        <v>14.6293783187866</v>
      </c>
      <c r="H11" s="4">
        <v>1452</v>
      </c>
      <c r="I11" s="4">
        <v>23.25</v>
      </c>
      <c r="J11" s="5">
        <v>24.199999999999999</v>
      </c>
      <c r="K11" s="5">
        <v>28.600000000000001</v>
      </c>
      <c r="L11" s="5">
        <v>3.7999999999999998</v>
      </c>
      <c r="M11" s="1">
        <v>3.7000000000000002</v>
      </c>
      <c r="N11" s="1">
        <v>2.7999999999999998</v>
      </c>
      <c r="O11" s="1">
        <v>3.2000000000000002</v>
      </c>
      <c r="P11" s="1" t="s">
        <v>146</v>
      </c>
    </row>
    <row r="12" ht="14.25">
      <c r="A12" s="1" t="s">
        <v>67</v>
      </c>
      <c r="B12" s="1">
        <v>100</v>
      </c>
      <c r="C12" s="1">
        <v>600</v>
      </c>
      <c r="D12" s="6">
        <v>-29.393395911300001</v>
      </c>
      <c r="E12" s="6">
        <v>-49.8649993079</v>
      </c>
      <c r="F12" s="1" t="s">
        <v>145</v>
      </c>
      <c r="G12" s="4">
        <v>14.6293783187866</v>
      </c>
      <c r="H12" s="4">
        <v>1452</v>
      </c>
      <c r="I12" s="4">
        <v>23.25</v>
      </c>
      <c r="J12" s="5">
        <v>22.5</v>
      </c>
      <c r="K12" s="5">
        <v>29.899999999999999</v>
      </c>
      <c r="L12" s="5">
        <v>3.77</v>
      </c>
      <c r="M12" s="1">
        <v>4</v>
      </c>
      <c r="N12" s="1">
        <v>2.2999999999999998</v>
      </c>
      <c r="O12" s="1">
        <v>3.6000000000000001</v>
      </c>
      <c r="P12" s="1" t="s">
        <v>146</v>
      </c>
    </row>
    <row r="13" ht="14.25">
      <c r="A13" s="1" t="s">
        <v>70</v>
      </c>
      <c r="B13" s="1">
        <v>100</v>
      </c>
      <c r="C13" s="1">
        <v>8400</v>
      </c>
      <c r="D13" s="3">
        <v>-29.134468999999999</v>
      </c>
      <c r="E13" s="3">
        <v>-50.118572</v>
      </c>
      <c r="F13" s="1" t="s">
        <v>143</v>
      </c>
      <c r="G13" s="4">
        <v>11.048534393310501</v>
      </c>
      <c r="H13" s="4">
        <v>1863</v>
      </c>
      <c r="I13" s="4">
        <v>18.848833084106399</v>
      </c>
      <c r="J13" s="5">
        <v>27.600000000000001</v>
      </c>
      <c r="K13" s="5">
        <v>50.700000000000003</v>
      </c>
      <c r="L13" s="5">
        <v>5.3600000000000003</v>
      </c>
      <c r="M13" s="1">
        <v>4.5</v>
      </c>
      <c r="N13" s="1">
        <v>1.5</v>
      </c>
      <c r="O13" s="1">
        <v>3.8999999999999999</v>
      </c>
      <c r="P13" s="1" t="s">
        <v>147</v>
      </c>
    </row>
    <row r="14" ht="14.25">
      <c r="A14" s="1" t="s">
        <v>80</v>
      </c>
      <c r="B14" s="1">
        <v>4</v>
      </c>
      <c r="C14" s="1">
        <v>120</v>
      </c>
      <c r="D14" s="3">
        <v>-31.219874000000001</v>
      </c>
      <c r="E14" s="3">
        <v>-50.961620000000003</v>
      </c>
      <c r="F14" s="1" t="s">
        <v>145</v>
      </c>
      <c r="G14" s="4">
        <v>14.210645675659199</v>
      </c>
      <c r="H14" s="4">
        <v>1382</v>
      </c>
      <c r="I14" s="4">
        <v>23.438499450683601</v>
      </c>
      <c r="J14" s="5">
        <v>28.899999999999999</v>
      </c>
      <c r="K14" s="5">
        <v>24.199999999999999</v>
      </c>
      <c r="L14" s="5">
        <v>4.7999999999999998</v>
      </c>
      <c r="M14" s="1">
        <v>3.8999999999999999</v>
      </c>
      <c r="N14" s="1">
        <v>5</v>
      </c>
      <c r="O14" s="1">
        <v>3.7999999999999998</v>
      </c>
      <c r="P14" s="1" t="s">
        <v>148</v>
      </c>
    </row>
    <row r="15" ht="13.800000000000001" customHeight="1">
      <c r="A15" s="1" t="s">
        <v>60</v>
      </c>
      <c r="B15" s="1">
        <v>100</v>
      </c>
      <c r="C15" s="1">
        <f t="shared" ref="C15:C18" si="0">100*10</f>
        <v>1000</v>
      </c>
      <c r="D15" s="7">
        <v>-31.43089355</v>
      </c>
      <c r="E15" s="7">
        <v>-52.6244151</v>
      </c>
      <c r="F15" s="1" t="s">
        <v>141</v>
      </c>
      <c r="G15" s="4">
        <v>14.9759769439697</v>
      </c>
      <c r="H15" s="4">
        <v>1452</v>
      </c>
      <c r="I15" s="4">
        <v>22.7456665039062</v>
      </c>
      <c r="J15" s="5">
        <v>18.399999999999999</v>
      </c>
      <c r="K15" s="5">
        <v>21.399999999999999</v>
      </c>
      <c r="L15" s="5">
        <v>4.5199999999999996</v>
      </c>
      <c r="M15" s="1">
        <v>3.7000000000000002</v>
      </c>
      <c r="N15" s="1">
        <v>3</v>
      </c>
      <c r="O15" s="1">
        <v>3.7999999999999998</v>
      </c>
      <c r="P15" s="1" t="s">
        <v>146</v>
      </c>
    </row>
    <row r="16" ht="13.800000000000001" customHeight="1">
      <c r="A16" s="1" t="s">
        <v>61</v>
      </c>
      <c r="B16" s="1">
        <v>100</v>
      </c>
      <c r="C16" s="1">
        <f t="shared" si="0"/>
        <v>1000</v>
      </c>
      <c r="D16" s="7">
        <v>-31.442071550000001</v>
      </c>
      <c r="E16" s="7">
        <v>-52.622304489999998</v>
      </c>
      <c r="F16" s="1" t="s">
        <v>141</v>
      </c>
      <c r="G16" s="4">
        <v>14.9759769439697</v>
      </c>
      <c r="H16" s="4">
        <v>1452</v>
      </c>
      <c r="I16" s="4">
        <v>22.7456665039062</v>
      </c>
      <c r="J16" s="5">
        <v>18.300000000000001</v>
      </c>
      <c r="K16" s="5">
        <v>19.5</v>
      </c>
      <c r="L16" s="5">
        <v>4.04</v>
      </c>
      <c r="M16" s="1">
        <v>4.0999999999999996</v>
      </c>
      <c r="N16" s="1">
        <v>3.2000000000000002</v>
      </c>
      <c r="O16" s="1">
        <v>2.7999999999999998</v>
      </c>
      <c r="P16" s="1" t="s">
        <v>146</v>
      </c>
    </row>
    <row r="17" ht="13.800000000000001" customHeight="1">
      <c r="A17" s="1" t="s">
        <v>82</v>
      </c>
      <c r="B17" s="1">
        <v>100</v>
      </c>
      <c r="C17" s="1">
        <v>700</v>
      </c>
      <c r="D17" s="6">
        <v>-29.333648634999999</v>
      </c>
      <c r="E17" s="6">
        <v>-49.923773839900001</v>
      </c>
      <c r="F17" s="1" t="s">
        <v>145</v>
      </c>
      <c r="G17" s="4">
        <v>13.863279342651399</v>
      </c>
      <c r="H17" s="4">
        <v>1546</v>
      </c>
      <c r="I17" s="4">
        <v>22.489000320434599</v>
      </c>
      <c r="J17" s="5">
        <v>25.300000000000001</v>
      </c>
      <c r="K17" s="5">
        <v>31.800000000000001</v>
      </c>
      <c r="L17" s="5">
        <v>4.3499999999999996</v>
      </c>
      <c r="M17" s="1">
        <v>3.6000000000000001</v>
      </c>
      <c r="N17" s="1">
        <v>2.5</v>
      </c>
      <c r="O17" s="1">
        <v>6.0999999999999996</v>
      </c>
      <c r="P17" s="1" t="s">
        <v>146</v>
      </c>
    </row>
    <row r="18" ht="13.800000000000001" customHeight="1">
      <c r="A18" s="1" t="s">
        <v>62</v>
      </c>
      <c r="B18" s="1">
        <v>100</v>
      </c>
      <c r="C18" s="1">
        <f t="shared" si="0"/>
        <v>1000</v>
      </c>
      <c r="D18" s="7">
        <v>-31.524215389999998</v>
      </c>
      <c r="E18" s="7">
        <v>-52.629507189999998</v>
      </c>
      <c r="F18" s="1" t="s">
        <v>141</v>
      </c>
      <c r="G18" s="4">
        <v>15.158251762390099</v>
      </c>
      <c r="H18" s="4">
        <v>1433</v>
      </c>
      <c r="I18" s="4">
        <v>23.043333053588899</v>
      </c>
      <c r="J18" s="5">
        <v>19.100000000000001</v>
      </c>
      <c r="K18" s="5">
        <v>23.600000000000001</v>
      </c>
      <c r="L18" s="5">
        <v>4.3899999999999997</v>
      </c>
      <c r="M18" s="1">
        <v>4.2000000000000002</v>
      </c>
      <c r="N18" s="1">
        <v>2.8999999999999999</v>
      </c>
      <c r="O18" s="1">
        <v>3.1000000000000001</v>
      </c>
      <c r="P18" s="1" t="s">
        <v>146</v>
      </c>
    </row>
    <row r="19" ht="13.800000000000001" customHeight="1">
      <c r="A19" s="1" t="s">
        <v>85</v>
      </c>
      <c r="B19" s="1">
        <v>25</v>
      </c>
      <c r="C19" s="1">
        <f>1000*2</f>
        <v>2000</v>
      </c>
      <c r="D19" s="3">
        <v>-29.447361000000001</v>
      </c>
      <c r="E19" s="3">
        <v>-50.548389</v>
      </c>
      <c r="F19" s="1" t="s">
        <v>143</v>
      </c>
      <c r="G19" s="4">
        <v>9.45294094085693</v>
      </c>
      <c r="H19" s="4">
        <v>2048</v>
      </c>
      <c r="I19" s="4">
        <v>19.365333557128899</v>
      </c>
      <c r="J19" s="5">
        <v>25.800000000000001</v>
      </c>
      <c r="K19" s="5">
        <v>46.399999999999999</v>
      </c>
      <c r="L19" s="5">
        <v>5.0199999999999996</v>
      </c>
      <c r="M19" s="1">
        <v>4</v>
      </c>
      <c r="N19" s="1">
        <v>1.7</v>
      </c>
      <c r="O19" s="1">
        <v>4</v>
      </c>
      <c r="P19" s="1" t="s">
        <v>149</v>
      </c>
    </row>
    <row r="20" ht="13.800000000000001" customHeight="1">
      <c r="A20" s="1" t="s">
        <v>90</v>
      </c>
      <c r="B20" s="1">
        <v>100</v>
      </c>
      <c r="C20" s="1">
        <f>1200*4</f>
        <v>4800</v>
      </c>
      <c r="D20" s="3">
        <v>-29.475427</v>
      </c>
      <c r="E20" s="3">
        <v>-50.350935999999997</v>
      </c>
      <c r="F20" s="1" t="s">
        <v>143</v>
      </c>
      <c r="G20" s="4">
        <v>10.0322275161743</v>
      </c>
      <c r="H20" s="4">
        <v>2036</v>
      </c>
      <c r="I20" s="4">
        <v>19.107500076293899</v>
      </c>
      <c r="J20" s="5">
        <v>23.199999999999999</v>
      </c>
      <c r="K20" s="5">
        <v>46.899999999999999</v>
      </c>
      <c r="L20" s="5">
        <v>5.1900000000000004</v>
      </c>
      <c r="M20" s="1">
        <v>3.6000000000000001</v>
      </c>
      <c r="N20" s="1">
        <v>1.7</v>
      </c>
      <c r="O20" s="1">
        <v>3.3999999999999999</v>
      </c>
      <c r="P20" s="1" t="s">
        <v>150</v>
      </c>
    </row>
    <row r="21" ht="13.800000000000001" customHeight="1">
      <c r="A21" s="1" t="s">
        <v>92</v>
      </c>
      <c r="B21" s="1">
        <v>25</v>
      </c>
      <c r="C21" s="1">
        <v>1000</v>
      </c>
      <c r="D21" s="3">
        <v>-29.516950000000001</v>
      </c>
      <c r="E21" s="3">
        <v>-50.912993999999998</v>
      </c>
      <c r="F21" s="1" t="s">
        <v>141</v>
      </c>
      <c r="G21" s="4">
        <v>9.6320848464965803</v>
      </c>
      <c r="H21" s="4">
        <v>1739</v>
      </c>
      <c r="I21" s="4">
        <v>21.555000305175799</v>
      </c>
      <c r="J21" s="5">
        <v>23.899999999999999</v>
      </c>
      <c r="K21" s="5">
        <v>44.899999999999999</v>
      </c>
      <c r="L21" s="5">
        <v>5.4800000000000004</v>
      </c>
      <c r="M21" s="1">
        <v>4.2000000000000002</v>
      </c>
      <c r="N21" s="1">
        <v>1.8</v>
      </c>
      <c r="O21" s="1">
        <v>4.2999999999999998</v>
      </c>
      <c r="P21" s="1" t="s">
        <v>151</v>
      </c>
    </row>
    <row r="22" ht="13.800000000000001" customHeight="1">
      <c r="A22" s="1" t="s">
        <v>93</v>
      </c>
      <c r="B22" s="1">
        <v>25</v>
      </c>
      <c r="C22" s="1">
        <v>2000</v>
      </c>
      <c r="D22" s="3">
        <v>-29.502027999999999</v>
      </c>
      <c r="E22" s="3">
        <v>-50.997852999999999</v>
      </c>
      <c r="F22" s="1" t="s">
        <v>141</v>
      </c>
      <c r="G22" s="4">
        <v>9.8391094207763707</v>
      </c>
      <c r="H22" s="4">
        <v>1788</v>
      </c>
      <c r="I22" s="4">
        <v>20.8190002441406</v>
      </c>
      <c r="J22" s="5">
        <v>24.600000000000001</v>
      </c>
      <c r="K22" s="5">
        <v>49.600000000000001</v>
      </c>
      <c r="L22" s="5">
        <v>5</v>
      </c>
      <c r="M22" s="1">
        <v>4.7999999999999998</v>
      </c>
      <c r="N22" s="1">
        <v>1.5</v>
      </c>
      <c r="O22" s="1">
        <v>3.7000000000000002</v>
      </c>
      <c r="P22" s="1" t="s">
        <v>151</v>
      </c>
    </row>
    <row r="23" ht="14.25">
      <c r="A23" s="1" t="s">
        <v>94</v>
      </c>
      <c r="B23" s="1">
        <v>100</v>
      </c>
      <c r="C23" s="1">
        <v>600</v>
      </c>
      <c r="D23" s="6">
        <v>-29.593974123799999</v>
      </c>
      <c r="E23" s="6">
        <v>-50.016879987599999</v>
      </c>
      <c r="F23" s="1" t="s">
        <v>145</v>
      </c>
      <c r="G23" s="4">
        <v>12.882916450500501</v>
      </c>
      <c r="H23" s="4">
        <v>1477</v>
      </c>
      <c r="I23" s="4">
        <v>23.4431667327881</v>
      </c>
      <c r="J23" s="5">
        <v>25.899999999999999</v>
      </c>
      <c r="K23" s="5">
        <v>21.899999999999999</v>
      </c>
      <c r="L23" s="5">
        <v>5.2400000000000002</v>
      </c>
      <c r="M23" s="1">
        <v>3.6000000000000001</v>
      </c>
      <c r="N23" s="1">
        <v>7.2000000000000002</v>
      </c>
      <c r="O23" s="1">
        <v>5</v>
      </c>
      <c r="P23" s="1" t="s">
        <v>146</v>
      </c>
    </row>
    <row r="24" ht="14.25">
      <c r="A24" s="1" t="s">
        <v>95</v>
      </c>
      <c r="B24" s="1">
        <v>100</v>
      </c>
      <c r="C24" s="1">
        <v>700</v>
      </c>
      <c r="D24" s="6">
        <v>-29.633692415500001</v>
      </c>
      <c r="E24" s="6">
        <v>-50.0718370859</v>
      </c>
      <c r="F24" s="1" t="s">
        <v>145</v>
      </c>
      <c r="G24" s="4">
        <v>12.882916450500501</v>
      </c>
      <c r="H24" s="4">
        <v>1477</v>
      </c>
      <c r="I24" s="4">
        <v>23.4431667327881</v>
      </c>
      <c r="J24" s="5">
        <v>22.399999999999999</v>
      </c>
      <c r="K24" s="5">
        <v>20.199999999999999</v>
      </c>
      <c r="L24" s="5">
        <v>4.25</v>
      </c>
      <c r="M24" s="1">
        <v>3.6000000000000001</v>
      </c>
      <c r="N24" s="1">
        <v>7.2000000000000002</v>
      </c>
      <c r="O24" s="1">
        <v>3.8999999999999999</v>
      </c>
      <c r="P24" s="1" t="s">
        <v>146</v>
      </c>
    </row>
    <row r="25" ht="14.25">
      <c r="A25" s="1" t="s">
        <v>96</v>
      </c>
      <c r="B25" s="1">
        <v>100</v>
      </c>
      <c r="C25" s="1">
        <v>800</v>
      </c>
      <c r="D25" s="6">
        <v>-32.560876878499997</v>
      </c>
      <c r="E25" s="6">
        <v>-52.508538760999997</v>
      </c>
      <c r="F25" s="1" t="s">
        <v>145</v>
      </c>
      <c r="G25" s="4">
        <v>15.037548065185501</v>
      </c>
      <c r="H25" s="4">
        <v>1246</v>
      </c>
      <c r="I25" s="4">
        <v>23.102832794189499</v>
      </c>
      <c r="J25" s="5">
        <v>26.800000000000001</v>
      </c>
      <c r="K25" s="5">
        <v>22.699999999999999</v>
      </c>
      <c r="L25" s="5">
        <v>3.9199999999999999</v>
      </c>
      <c r="M25" s="1">
        <v>3.7000000000000002</v>
      </c>
      <c r="N25" s="1">
        <v>4.2000000000000002</v>
      </c>
      <c r="O25" s="1">
        <v>4</v>
      </c>
      <c r="P25" s="1" t="s">
        <v>146</v>
      </c>
    </row>
    <row r="26" ht="14.25">
      <c r="A26" s="1" t="s">
        <v>97</v>
      </c>
      <c r="B26" s="1">
        <v>100</v>
      </c>
      <c r="C26" s="1">
        <v>1500</v>
      </c>
      <c r="D26" s="6">
        <v>-31.220075078000001</v>
      </c>
      <c r="E26" s="6">
        <v>-50.962793404700001</v>
      </c>
      <c r="F26" s="1" t="s">
        <v>145</v>
      </c>
      <c r="G26" s="4">
        <v>14.210645675659199</v>
      </c>
      <c r="H26" s="4">
        <v>1382</v>
      </c>
      <c r="I26" s="4">
        <v>23.438499450683601</v>
      </c>
      <c r="J26" s="5">
        <v>26.699999999999999</v>
      </c>
      <c r="K26" s="5">
        <v>22.300000000000001</v>
      </c>
      <c r="L26" s="5">
        <v>4.6699999999999999</v>
      </c>
      <c r="M26" s="1">
        <v>3.7000000000000002</v>
      </c>
      <c r="N26" s="1">
        <v>4.2999999999999998</v>
      </c>
      <c r="O26" s="1">
        <v>3.8999999999999999</v>
      </c>
      <c r="P26" s="1" t="s">
        <v>146</v>
      </c>
    </row>
    <row r="27" ht="14.25">
      <c r="A27" s="1" t="s">
        <v>98</v>
      </c>
      <c r="B27" s="1">
        <v>100</v>
      </c>
      <c r="C27" s="1">
        <v>1000</v>
      </c>
      <c r="D27" s="6">
        <v>-29.362678934600002</v>
      </c>
      <c r="E27" s="6">
        <v>-49.762452785500003</v>
      </c>
      <c r="F27" s="1" t="s">
        <v>145</v>
      </c>
      <c r="G27" s="4">
        <v>15.1452836990356</v>
      </c>
      <c r="H27" s="4">
        <v>1425</v>
      </c>
      <c r="I27" s="4">
        <v>23.384815216064499</v>
      </c>
      <c r="J27" s="5">
        <v>22.300000000000001</v>
      </c>
      <c r="K27" s="5">
        <v>27.5</v>
      </c>
      <c r="L27" s="5">
        <v>4.04</v>
      </c>
      <c r="M27" s="1">
        <v>3.6000000000000001</v>
      </c>
      <c r="N27" s="1">
        <v>2.6000000000000001</v>
      </c>
      <c r="O27" s="1">
        <v>4</v>
      </c>
      <c r="P27" s="1" t="s">
        <v>146</v>
      </c>
    </row>
    <row r="28" ht="14.25">
      <c r="A28" s="1" t="s">
        <v>99</v>
      </c>
      <c r="B28" s="1">
        <v>25</v>
      </c>
      <c r="C28" s="1">
        <v>2500</v>
      </c>
      <c r="D28" s="3">
        <v>-27.136524999999999</v>
      </c>
      <c r="E28" s="3">
        <v>-53.879736999999999</v>
      </c>
      <c r="F28" s="1" t="s">
        <v>141</v>
      </c>
      <c r="G28" s="4">
        <v>11.049974441528301</v>
      </c>
      <c r="H28" s="4">
        <v>1856</v>
      </c>
      <c r="I28" s="4">
        <v>24.394332885742202</v>
      </c>
      <c r="J28" s="5">
        <v>24.399999999999999</v>
      </c>
      <c r="K28" s="5">
        <v>38</v>
      </c>
      <c r="L28" s="5">
        <v>6</v>
      </c>
      <c r="M28" s="1">
        <v>4.0999999999999996</v>
      </c>
      <c r="N28" s="1">
        <v>2.2999999999999998</v>
      </c>
      <c r="O28" s="1">
        <v>3.7000000000000002</v>
      </c>
      <c r="P28" s="1" t="s">
        <v>152</v>
      </c>
    </row>
    <row r="29" ht="14.25">
      <c r="A29" s="1" t="s">
        <v>106</v>
      </c>
      <c r="B29" s="1">
        <v>25</v>
      </c>
      <c r="C29" s="1">
        <v>1000</v>
      </c>
      <c r="D29" s="3">
        <v>-27.182455999999998</v>
      </c>
      <c r="E29" s="3">
        <v>-53.847662999999997</v>
      </c>
      <c r="F29" s="1" t="s">
        <v>141</v>
      </c>
      <c r="G29" s="4">
        <v>10.803194999694799</v>
      </c>
      <c r="H29" s="4">
        <v>1859</v>
      </c>
      <c r="I29" s="4">
        <v>24.030166625976602</v>
      </c>
      <c r="J29" s="5">
        <v>24.300000000000001</v>
      </c>
      <c r="K29" s="5">
        <v>40.5</v>
      </c>
      <c r="L29" s="5">
        <v>5.8300000000000001</v>
      </c>
      <c r="M29" s="1">
        <v>3.8999999999999999</v>
      </c>
      <c r="N29" s="1">
        <v>2.2999999999999998</v>
      </c>
      <c r="O29" s="1">
        <v>3.3999999999999999</v>
      </c>
      <c r="P29" s="1" t="s">
        <v>152</v>
      </c>
    </row>
    <row r="30" ht="14.25">
      <c r="A30" s="1" t="s">
        <v>107</v>
      </c>
      <c r="B30" s="1">
        <v>25</v>
      </c>
      <c r="C30" s="1">
        <v>1000</v>
      </c>
      <c r="D30" s="3">
        <v>-27.218661999999998</v>
      </c>
      <c r="E30" s="3">
        <v>-53.852178000000002</v>
      </c>
      <c r="F30" s="1" t="s">
        <v>141</v>
      </c>
      <c r="G30" s="4">
        <v>10.803194999694799</v>
      </c>
      <c r="H30" s="4">
        <v>1859</v>
      </c>
      <c r="I30" s="4">
        <v>24.030166625976602</v>
      </c>
      <c r="J30" s="5">
        <v>20.899999999999999</v>
      </c>
      <c r="K30" s="5">
        <v>39.600000000000001</v>
      </c>
      <c r="L30" s="5">
        <v>5.75</v>
      </c>
      <c r="M30" s="1">
        <v>6.4000000000000004</v>
      </c>
      <c r="N30" s="1">
        <v>2.2999999999999998</v>
      </c>
      <c r="O30" s="1">
        <v>3.6000000000000001</v>
      </c>
      <c r="P30" s="1" t="s">
        <v>152</v>
      </c>
    </row>
    <row r="31" ht="14.25">
      <c r="A31" s="1" t="s">
        <v>108</v>
      </c>
      <c r="B31" s="1">
        <v>4</v>
      </c>
      <c r="C31" s="1">
        <v>120</v>
      </c>
      <c r="D31" s="3">
        <v>-27.205511000000001</v>
      </c>
      <c r="E31" s="3">
        <v>-53.916193</v>
      </c>
      <c r="F31" s="1" t="s">
        <v>141</v>
      </c>
      <c r="G31" s="4">
        <v>10.803194999694799</v>
      </c>
      <c r="H31" s="4">
        <v>1859</v>
      </c>
      <c r="I31" s="4">
        <v>24.030166625976602</v>
      </c>
      <c r="J31" s="5">
        <v>23.600000000000001</v>
      </c>
      <c r="K31" s="5">
        <v>40.5</v>
      </c>
      <c r="L31" s="5">
        <v>5.8099999999999996</v>
      </c>
      <c r="M31" s="1">
        <v>5.2999999999999998</v>
      </c>
      <c r="N31" s="1">
        <v>2.2999999999999998</v>
      </c>
      <c r="O31" s="1">
        <v>3.6000000000000001</v>
      </c>
      <c r="P31" s="1" t="s">
        <v>153</v>
      </c>
    </row>
    <row r="32" ht="14.25">
      <c r="A32" s="1" t="s">
        <v>110</v>
      </c>
      <c r="B32" s="1">
        <v>100</v>
      </c>
      <c r="C32" s="1">
        <v>2000</v>
      </c>
      <c r="D32" s="3">
        <v>-27.728943000000001</v>
      </c>
      <c r="E32" s="3">
        <v>-48.534573999999999</v>
      </c>
      <c r="F32" s="1" t="s">
        <v>139</v>
      </c>
      <c r="G32" s="4">
        <v>22.269617080688501</v>
      </c>
      <c r="H32" s="4">
        <v>1562</v>
      </c>
      <c r="I32" s="4">
        <v>23.665981292724599</v>
      </c>
      <c r="J32" s="5">
        <v>22</v>
      </c>
      <c r="K32" s="5">
        <v>39.899999999999999</v>
      </c>
      <c r="L32" s="5">
        <v>3.5899999999999999</v>
      </c>
      <c r="M32" s="1">
        <v>3.2999999999999998</v>
      </c>
      <c r="N32" s="1">
        <v>2.6000000000000001</v>
      </c>
      <c r="O32" s="1">
        <v>2.3999999999999999</v>
      </c>
      <c r="P32" s="1" t="s">
        <v>154</v>
      </c>
    </row>
    <row r="33" ht="14.25">
      <c r="A33" s="1" t="s">
        <v>111</v>
      </c>
      <c r="B33" s="1">
        <v>100</v>
      </c>
      <c r="C33" s="1">
        <v>1500</v>
      </c>
      <c r="D33" s="3">
        <v>-27.732482000000001</v>
      </c>
      <c r="E33" s="3">
        <v>-48.514285999999998</v>
      </c>
      <c r="F33" s="1" t="s">
        <v>145</v>
      </c>
      <c r="G33" s="4">
        <v>22.269617080688501</v>
      </c>
      <c r="H33" s="4">
        <v>1562</v>
      </c>
      <c r="I33" s="4">
        <v>23.665981292724599</v>
      </c>
      <c r="J33" s="5">
        <v>29.300000000000001</v>
      </c>
      <c r="K33" s="5">
        <v>35.5</v>
      </c>
      <c r="L33" s="5">
        <v>4.1799999999999997</v>
      </c>
      <c r="M33" s="1">
        <v>3.1000000000000001</v>
      </c>
      <c r="N33" s="1">
        <v>2.6000000000000001</v>
      </c>
      <c r="O33" s="1">
        <v>5.7999999999999998</v>
      </c>
      <c r="P33" s="1" t="s">
        <v>154</v>
      </c>
    </row>
    <row r="34" ht="14.25">
      <c r="A34" s="1" t="s">
        <v>114</v>
      </c>
      <c r="B34" s="1">
        <v>36</v>
      </c>
      <c r="C34" s="1">
        <v>576</v>
      </c>
      <c r="D34" s="3">
        <v>-28.205552000000001</v>
      </c>
      <c r="E34" s="3">
        <v>-49.376359000000001</v>
      </c>
      <c r="F34" s="1" t="s">
        <v>143</v>
      </c>
      <c r="G34" s="4">
        <v>27.3013095855713</v>
      </c>
      <c r="H34" s="4">
        <v>1484</v>
      </c>
      <c r="I34" s="4">
        <v>21.905166625976602</v>
      </c>
      <c r="J34" s="5">
        <v>21.300000000000001</v>
      </c>
      <c r="K34" s="5">
        <v>45.200000000000003</v>
      </c>
      <c r="L34" s="5">
        <v>3.2400000000000002</v>
      </c>
      <c r="M34" s="1">
        <v>2.7999999999999998</v>
      </c>
      <c r="N34" s="1">
        <v>2.2999999999999998</v>
      </c>
      <c r="O34" s="1">
        <v>2.2999999999999998</v>
      </c>
      <c r="P34" s="1" t="s">
        <v>155</v>
      </c>
    </row>
    <row r="35" ht="14.25">
      <c r="A35" s="1" t="s">
        <v>119</v>
      </c>
      <c r="B35" s="1">
        <v>4</v>
      </c>
      <c r="C35" s="1">
        <v>1280</v>
      </c>
      <c r="D35" s="3">
        <v>-28.522345999999999</v>
      </c>
      <c r="E35" s="3">
        <v>-49.331584999999997</v>
      </c>
      <c r="F35" s="1" t="s">
        <v>139</v>
      </c>
      <c r="G35" s="4">
        <v>27.495883941650401</v>
      </c>
      <c r="H35" s="4">
        <v>1418</v>
      </c>
      <c r="I35" s="4">
        <v>23.194499969482401</v>
      </c>
      <c r="J35" s="5">
        <v>21.600000000000001</v>
      </c>
      <c r="K35" s="5">
        <v>38</v>
      </c>
      <c r="L35" s="5">
        <v>3.21</v>
      </c>
      <c r="M35" s="1">
        <v>2.7999999999999998</v>
      </c>
      <c r="N35" s="1">
        <v>2.3999999999999999</v>
      </c>
      <c r="O35" s="1">
        <v>3.1000000000000001</v>
      </c>
      <c r="P35" s="1" t="s">
        <v>156</v>
      </c>
    </row>
  </sheetData>
  <autoFilter ref="A1:P35">
    <sortState ref="A2:P35">
      <sortCondition ref="A2:A35"/>
    </sortState>
  </autoFilter>
  <printOptions headings="0" gridLines="0" horizontalCentered="0" verticalCentered="0"/>
  <pageMargins left="0.78750000000000009" right="0.78750000000000009" top="1.05277777777778" bottom="1.05277777777778" header="0.78750000000000009" footer="0.78750000000000009"/>
  <pageSetup paperSize="9" scale="100" fitToWidth="1" fitToHeight="1" pageOrder="downThenOver" orientation="portrait" usePrinterDefaults="1" blackAndWhite="0" draft="0" cellComments="none" useFirstPageNumber="0" errors="displayed" horizontalDpi="300" verticalDpi="300" copies="1"/>
  <headerFooter>
    <oddHeader>&amp;C&amp;"Nimbus Roman,Regular"&amp;12&amp;Kffffff&amp;A</oddHeader>
    <oddFooter>&amp;C&amp;"Nimbus Roman,Regular"&amp;12&amp;KffffffPage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1" showRowColHeaders="1" showZeros="1" rightToLeft="0" view="normal" topLeftCell="A1" zoomScale="100" workbookViewId="0">
      <selection activeCell="A1" activeCellId="0" sqref="A1"/>
    </sheetView>
  </sheetViews>
  <sheetFormatPr defaultColWidth="8.54296875" defaultRowHeight="15" customHeight="1"/>
  <sheetData>
    <row r="1" ht="15">
      <c r="A1" s="1" t="s">
        <v>0</v>
      </c>
      <c r="B1" s="1" t="s">
        <v>124</v>
      </c>
      <c r="C1" s="1" t="s">
        <v>125</v>
      </c>
      <c r="D1" s="1" t="s">
        <v>126</v>
      </c>
      <c r="E1" s="1" t="s">
        <v>127</v>
      </c>
      <c r="F1" s="1" t="s">
        <v>128</v>
      </c>
      <c r="G1" s="1" t="s">
        <v>129</v>
      </c>
      <c r="H1" s="1" t="s">
        <v>130</v>
      </c>
      <c r="I1" s="1" t="s">
        <v>131</v>
      </c>
      <c r="J1" s="1" t="s">
        <v>132</v>
      </c>
      <c r="K1" s="1" t="s">
        <v>133</v>
      </c>
      <c r="L1" s="1" t="s">
        <v>134</v>
      </c>
      <c r="M1" s="1" t="s">
        <v>135</v>
      </c>
      <c r="N1" s="1" t="s">
        <v>136</v>
      </c>
      <c r="O1" s="1" t="s">
        <v>137</v>
      </c>
    </row>
    <row r="2" ht="15">
      <c r="A2" s="1" t="s">
        <v>3</v>
      </c>
      <c r="B2" s="1">
        <v>4</v>
      </c>
      <c r="C2" s="1">
        <v>480</v>
      </c>
      <c r="D2" s="3">
        <v>-25.563548000000001</v>
      </c>
      <c r="E2" s="3">
        <v>-48.309151999999997</v>
      </c>
      <c r="F2" s="1" t="s">
        <v>139</v>
      </c>
      <c r="G2" s="4">
        <v>42.255035400390597</v>
      </c>
      <c r="H2" s="4">
        <v>2100</v>
      </c>
      <c r="I2" s="4">
        <v>24.879165649414102</v>
      </c>
      <c r="J2" s="1">
        <v>24.800000000000001</v>
      </c>
      <c r="K2" s="1">
        <v>34.399999999999999</v>
      </c>
      <c r="L2" s="1">
        <v>4.6900000000000004</v>
      </c>
      <c r="M2" s="1">
        <v>3.5</v>
      </c>
      <c r="N2" s="1">
        <v>3.3999999999999999</v>
      </c>
      <c r="O2" s="1">
        <v>5.2999999999999998</v>
      </c>
    </row>
    <row r="3" ht="15">
      <c r="A3" s="1" t="s">
        <v>10</v>
      </c>
      <c r="B3" s="1">
        <v>25</v>
      </c>
      <c r="C3" s="1">
        <v>250</v>
      </c>
      <c r="D3" s="3">
        <v>-29.593205999999999</v>
      </c>
      <c r="E3" s="3">
        <v>-51.140300000000003</v>
      </c>
      <c r="F3" s="1" t="s">
        <v>141</v>
      </c>
      <c r="G3" s="4">
        <v>9.9946022033691406</v>
      </c>
      <c r="H3" s="4">
        <v>1553</v>
      </c>
      <c r="I3" s="4">
        <v>23.362499237060501</v>
      </c>
      <c r="J3" s="1">
        <v>20.5</v>
      </c>
      <c r="K3" s="1">
        <v>28.899999999999999</v>
      </c>
      <c r="L3" s="1">
        <v>4.3600000000000003</v>
      </c>
      <c r="M3" s="1">
        <v>4.4000000000000004</v>
      </c>
      <c r="N3" s="1">
        <v>3.6000000000000001</v>
      </c>
      <c r="O3" s="1">
        <v>3.3999999999999999</v>
      </c>
    </row>
    <row r="4" ht="15">
      <c r="A4" s="1" t="s">
        <v>19</v>
      </c>
      <c r="B4" s="1">
        <v>25</v>
      </c>
      <c r="C4" s="1">
        <v>250</v>
      </c>
      <c r="D4" s="3">
        <v>-29.595517000000001</v>
      </c>
      <c r="E4" s="3">
        <v>-51.190300000000001</v>
      </c>
      <c r="F4" s="1" t="s">
        <v>141</v>
      </c>
      <c r="G4" s="4">
        <v>10.4638376235962</v>
      </c>
      <c r="H4" s="4">
        <v>1515</v>
      </c>
      <c r="I4" s="4">
        <v>23.574001312255898</v>
      </c>
      <c r="J4" s="1">
        <v>21.899999999999999</v>
      </c>
      <c r="K4" s="1">
        <v>30.399999999999999</v>
      </c>
      <c r="L4" s="1">
        <v>4.1799999999999997</v>
      </c>
      <c r="M4" s="1">
        <v>4.5999999999999996</v>
      </c>
      <c r="N4" s="1">
        <v>3.5</v>
      </c>
      <c r="O4" s="1">
        <v>3.2000000000000002</v>
      </c>
    </row>
    <row r="5" ht="15">
      <c r="A5" s="1" t="s">
        <v>25</v>
      </c>
      <c r="B5" s="1">
        <v>25</v>
      </c>
      <c r="C5" s="1">
        <v>600</v>
      </c>
      <c r="D5" s="3">
        <v>-29.392778</v>
      </c>
      <c r="E5" s="3">
        <v>-50.692222000000001</v>
      </c>
      <c r="F5" s="1" t="s">
        <v>143</v>
      </c>
      <c r="G5" s="4">
        <v>9.8715257644653303</v>
      </c>
      <c r="H5" s="4">
        <v>1925</v>
      </c>
      <c r="I5" s="4">
        <v>20.1410007476807</v>
      </c>
      <c r="J5" s="1">
        <v>24.5</v>
      </c>
      <c r="K5" s="1">
        <v>47</v>
      </c>
      <c r="L5" s="1">
        <v>5.5</v>
      </c>
      <c r="M5" s="1">
        <v>4.2999999999999998</v>
      </c>
      <c r="N5" s="1">
        <v>1.8</v>
      </c>
      <c r="O5" s="1">
        <v>4</v>
      </c>
    </row>
    <row r="6" ht="15">
      <c r="A6" s="1" t="s">
        <v>31</v>
      </c>
      <c r="B6" s="1">
        <v>25</v>
      </c>
      <c r="C6" s="1">
        <v>250</v>
      </c>
      <c r="D6" s="3">
        <v>-29.546382999999999</v>
      </c>
      <c r="E6" s="3">
        <v>-51.130650000000003</v>
      </c>
      <c r="F6" s="1" t="s">
        <v>141</v>
      </c>
      <c r="G6" s="4">
        <v>9.9899091720581108</v>
      </c>
      <c r="H6" s="4">
        <v>1625</v>
      </c>
      <c r="I6" s="4">
        <v>22.3950004577637</v>
      </c>
      <c r="J6" s="1">
        <v>20.399999999999999</v>
      </c>
      <c r="K6" s="1">
        <v>41.100000000000001</v>
      </c>
      <c r="L6" s="1">
        <v>5.0099999999999998</v>
      </c>
      <c r="M6" s="1">
        <v>4.2999999999999998</v>
      </c>
      <c r="N6" s="1">
        <v>2.1000000000000001</v>
      </c>
      <c r="O6" s="1">
        <v>3.2000000000000002</v>
      </c>
    </row>
    <row r="7" ht="15">
      <c r="A7" s="1" t="s">
        <v>39</v>
      </c>
      <c r="B7" s="1">
        <v>25</v>
      </c>
      <c r="C7" s="1">
        <v>600</v>
      </c>
      <c r="D7" s="3">
        <v>-29.583333</v>
      </c>
      <c r="E7" s="3">
        <v>-50.433332999999998</v>
      </c>
      <c r="F7" s="1" t="s">
        <v>141</v>
      </c>
      <c r="G7" s="4">
        <v>10.113278388977101</v>
      </c>
      <c r="H7" s="4">
        <v>1845</v>
      </c>
      <c r="I7" s="4">
        <v>20.702499389648398</v>
      </c>
      <c r="J7" s="1">
        <v>20.899999999999999</v>
      </c>
      <c r="K7" s="1">
        <v>35.600000000000001</v>
      </c>
      <c r="L7" s="1">
        <v>5.4100000000000001</v>
      </c>
      <c r="M7" s="1">
        <v>4.9000000000000004</v>
      </c>
      <c r="N7" s="1">
        <v>2.6000000000000001</v>
      </c>
      <c r="O7" s="1">
        <v>3.2999999999999998</v>
      </c>
    </row>
    <row r="8" ht="15">
      <c r="A8" s="1" t="s">
        <v>44</v>
      </c>
      <c r="B8" s="1">
        <v>100</v>
      </c>
      <c r="C8" s="1">
        <v>500</v>
      </c>
      <c r="D8" s="6">
        <v>-32.021165224100002</v>
      </c>
      <c r="E8" s="6">
        <v>-52.2499380215</v>
      </c>
      <c r="F8" s="1" t="s">
        <v>145</v>
      </c>
      <c r="G8" s="4">
        <v>17.6270542144775</v>
      </c>
      <c r="H8" s="4">
        <v>1245</v>
      </c>
      <c r="I8" s="4">
        <v>23.593910217285199</v>
      </c>
      <c r="J8" s="1">
        <v>26.199999999999999</v>
      </c>
      <c r="K8" s="1">
        <v>26.100000000000001</v>
      </c>
      <c r="L8" s="1">
        <v>4.6399999999999997</v>
      </c>
      <c r="M8" s="1">
        <v>3.6000000000000001</v>
      </c>
      <c r="N8" s="1">
        <v>2.8999999999999999</v>
      </c>
      <c r="O8" s="1">
        <v>4.2999999999999998</v>
      </c>
    </row>
    <row r="9" ht="15">
      <c r="A9" s="1" t="s">
        <v>52</v>
      </c>
      <c r="B9" s="1">
        <v>100</v>
      </c>
      <c r="C9" s="1">
        <v>1000</v>
      </c>
      <c r="D9" s="6">
        <v>-30.0879334107</v>
      </c>
      <c r="E9" s="6">
        <v>-50.235891228500002</v>
      </c>
      <c r="F9" s="1" t="s">
        <v>145</v>
      </c>
      <c r="G9" s="4">
        <v>13.411283493041999</v>
      </c>
      <c r="H9" s="4">
        <v>1511</v>
      </c>
      <c r="I9" s="4">
        <v>23.466667175293001</v>
      </c>
      <c r="J9" s="1">
        <v>22.800000000000001</v>
      </c>
      <c r="K9" s="1">
        <v>21.899999999999999</v>
      </c>
      <c r="L9" s="1">
        <v>4.8399999999999999</v>
      </c>
      <c r="M9" s="1">
        <v>4.7999999999999998</v>
      </c>
      <c r="N9" s="1">
        <v>5.5999999999999996</v>
      </c>
      <c r="O9" s="1">
        <v>4</v>
      </c>
    </row>
    <row r="10" ht="15">
      <c r="A10" s="1" t="s">
        <v>58</v>
      </c>
      <c r="B10" s="1">
        <v>100</v>
      </c>
      <c r="C10" s="1">
        <f>100*10</f>
        <v>1000</v>
      </c>
      <c r="D10" s="3">
        <v>-31.498150583000001</v>
      </c>
      <c r="E10" s="3">
        <v>-52.712827330000003</v>
      </c>
      <c r="F10" s="1" t="s">
        <v>141</v>
      </c>
      <c r="G10" s="4">
        <v>14.887642860412599</v>
      </c>
      <c r="H10" s="4">
        <v>1456</v>
      </c>
      <c r="I10" s="4">
        <v>22.637500762939499</v>
      </c>
      <c r="J10" s="1">
        <v>16.300000000000001</v>
      </c>
      <c r="K10" s="1">
        <v>22.399999999999999</v>
      </c>
      <c r="L10" s="1">
        <v>3.6600000000000001</v>
      </c>
      <c r="M10" s="1">
        <v>3</v>
      </c>
      <c r="N10" s="1">
        <v>2.8999999999999999</v>
      </c>
      <c r="O10" s="1">
        <v>2.3999999999999999</v>
      </c>
    </row>
    <row r="11" ht="15">
      <c r="A11" s="1" t="s">
        <v>64</v>
      </c>
      <c r="B11" s="1">
        <v>100</v>
      </c>
      <c r="C11" s="1">
        <v>1900</v>
      </c>
      <c r="D11" s="6">
        <v>-29.334814444100001</v>
      </c>
      <c r="E11" s="6">
        <v>-49.839226742999998</v>
      </c>
      <c r="F11" s="1" t="s">
        <v>139</v>
      </c>
      <c r="G11" s="4">
        <v>14.6293783187866</v>
      </c>
      <c r="H11" s="4">
        <v>1452</v>
      </c>
      <c r="I11" s="4">
        <v>23.25</v>
      </c>
      <c r="J11" s="1">
        <v>24.199999999999999</v>
      </c>
      <c r="K11" s="1">
        <v>28.600000000000001</v>
      </c>
      <c r="L11" s="1">
        <v>3.7999999999999998</v>
      </c>
      <c r="M11" s="1">
        <v>3.7000000000000002</v>
      </c>
      <c r="N11" s="1">
        <v>2.7999999999999998</v>
      </c>
      <c r="O11" s="1">
        <v>3.2000000000000002</v>
      </c>
    </row>
    <row r="12" ht="15">
      <c r="A12" s="1" t="s">
        <v>67</v>
      </c>
      <c r="B12" s="1">
        <v>100</v>
      </c>
      <c r="C12" s="1">
        <v>600</v>
      </c>
      <c r="D12" s="6">
        <v>-29.393395911300001</v>
      </c>
      <c r="E12" s="6">
        <v>-49.8649993079</v>
      </c>
      <c r="F12" s="1" t="s">
        <v>145</v>
      </c>
      <c r="G12" s="4">
        <v>14.6293783187866</v>
      </c>
      <c r="H12" s="4">
        <v>1452</v>
      </c>
      <c r="I12" s="4">
        <v>23.25</v>
      </c>
      <c r="J12" s="1">
        <v>22.5</v>
      </c>
      <c r="K12" s="1">
        <v>29.899999999999999</v>
      </c>
      <c r="L12" s="1">
        <v>3.77</v>
      </c>
      <c r="M12" s="1">
        <v>4</v>
      </c>
      <c r="N12" s="1">
        <v>2.2999999999999998</v>
      </c>
      <c r="O12" s="1">
        <v>3.6000000000000001</v>
      </c>
    </row>
    <row r="13" ht="15">
      <c r="A13" s="1" t="s">
        <v>70</v>
      </c>
      <c r="B13" s="1">
        <v>100</v>
      </c>
      <c r="C13" s="1">
        <v>8400</v>
      </c>
      <c r="D13" s="3">
        <v>-29.134468999999999</v>
      </c>
      <c r="E13" s="3">
        <v>-50.118572</v>
      </c>
      <c r="F13" s="1" t="s">
        <v>143</v>
      </c>
      <c r="G13" s="4">
        <v>11.048534393310501</v>
      </c>
      <c r="H13" s="4">
        <v>1863</v>
      </c>
      <c r="I13" s="4">
        <v>18.848833084106399</v>
      </c>
      <c r="J13" s="1">
        <v>27.600000000000001</v>
      </c>
      <c r="K13" s="1">
        <v>50.700000000000003</v>
      </c>
      <c r="L13" s="1">
        <v>5.3600000000000003</v>
      </c>
      <c r="M13" s="1">
        <v>4.5</v>
      </c>
      <c r="N13" s="1">
        <v>1.5</v>
      </c>
      <c r="O13" s="1">
        <v>3.8999999999999999</v>
      </c>
    </row>
    <row r="14" ht="15">
      <c r="A14" s="1" t="s">
        <v>80</v>
      </c>
      <c r="B14" s="1">
        <v>4</v>
      </c>
      <c r="C14" s="1">
        <v>120</v>
      </c>
      <c r="D14" s="3">
        <v>-31.219874000000001</v>
      </c>
      <c r="E14" s="3">
        <v>-50.961620000000003</v>
      </c>
      <c r="F14" s="1" t="s">
        <v>145</v>
      </c>
      <c r="G14" s="4">
        <v>14.210645675659199</v>
      </c>
      <c r="H14" s="4">
        <v>1382</v>
      </c>
      <c r="I14" s="4">
        <v>23.438499450683601</v>
      </c>
      <c r="J14" s="1">
        <v>28.899999999999999</v>
      </c>
      <c r="K14" s="1">
        <v>24.199999999999999</v>
      </c>
      <c r="L14" s="1">
        <v>4.7999999999999998</v>
      </c>
      <c r="M14" s="1">
        <v>3.8999999999999999</v>
      </c>
      <c r="N14" s="1">
        <v>5</v>
      </c>
      <c r="O14" s="1">
        <v>3.7999999999999998</v>
      </c>
    </row>
    <row r="15" ht="15">
      <c r="A15" s="1" t="s">
        <v>60</v>
      </c>
      <c r="B15" s="1">
        <v>100</v>
      </c>
      <c r="C15" s="1">
        <f t="shared" ref="C15:C18" si="1">100*10</f>
        <v>1000</v>
      </c>
      <c r="D15" s="7">
        <v>-31.43089355</v>
      </c>
      <c r="E15" s="7">
        <v>-52.6244151</v>
      </c>
      <c r="F15" s="1" t="s">
        <v>141</v>
      </c>
      <c r="G15" s="4">
        <v>14.9759769439697</v>
      </c>
      <c r="H15" s="4">
        <v>1452</v>
      </c>
      <c r="I15" s="4">
        <v>22.7456665039062</v>
      </c>
      <c r="J15" s="1">
        <v>18.399999999999999</v>
      </c>
      <c r="K15" s="1">
        <v>21.399999999999999</v>
      </c>
      <c r="L15" s="1">
        <v>4.5199999999999996</v>
      </c>
      <c r="M15" s="1">
        <v>3.7000000000000002</v>
      </c>
      <c r="N15" s="1">
        <v>3</v>
      </c>
      <c r="O15" s="1">
        <v>3.7999999999999998</v>
      </c>
    </row>
    <row r="16" ht="15">
      <c r="A16" s="1" t="s">
        <v>61</v>
      </c>
      <c r="B16" s="1">
        <v>100</v>
      </c>
      <c r="C16" s="1">
        <f t="shared" si="1"/>
        <v>1000</v>
      </c>
      <c r="D16" s="7">
        <v>-31.442071550000001</v>
      </c>
      <c r="E16" s="7">
        <v>-52.622304489999998</v>
      </c>
      <c r="F16" s="1" t="s">
        <v>141</v>
      </c>
      <c r="G16" s="4">
        <v>14.9759769439697</v>
      </c>
      <c r="H16" s="4">
        <v>1452</v>
      </c>
      <c r="I16" s="4">
        <v>22.7456665039062</v>
      </c>
      <c r="J16" s="1">
        <v>18.300000000000001</v>
      </c>
      <c r="K16" s="1">
        <v>19.5</v>
      </c>
      <c r="L16" s="1">
        <v>4.04</v>
      </c>
      <c r="M16" s="1">
        <v>4.0999999999999996</v>
      </c>
      <c r="N16" s="1">
        <v>3.2000000000000002</v>
      </c>
      <c r="O16" s="1">
        <v>2.7999999999999998</v>
      </c>
    </row>
    <row r="17" ht="15">
      <c r="A17" s="1" t="s">
        <v>82</v>
      </c>
      <c r="B17" s="1">
        <v>100</v>
      </c>
      <c r="C17" s="1">
        <v>700</v>
      </c>
      <c r="D17" s="6">
        <v>-29.333648634999999</v>
      </c>
      <c r="E17" s="6">
        <v>-49.923773839900001</v>
      </c>
      <c r="F17" s="1" t="s">
        <v>145</v>
      </c>
      <c r="G17" s="4">
        <v>13.863279342651399</v>
      </c>
      <c r="H17" s="4">
        <v>1546</v>
      </c>
      <c r="I17" s="4">
        <v>22.489000320434599</v>
      </c>
      <c r="J17" s="1">
        <v>25.300000000000001</v>
      </c>
      <c r="K17" s="1">
        <v>31.800000000000001</v>
      </c>
      <c r="L17" s="1">
        <v>4.3499999999999996</v>
      </c>
      <c r="M17" s="1">
        <v>3.6000000000000001</v>
      </c>
      <c r="N17" s="1">
        <v>2.5</v>
      </c>
      <c r="O17" s="1">
        <v>6.0999999999999996</v>
      </c>
    </row>
    <row r="18" ht="15">
      <c r="A18" s="1" t="s">
        <v>62</v>
      </c>
      <c r="B18" s="1">
        <v>100</v>
      </c>
      <c r="C18" s="1">
        <f t="shared" si="1"/>
        <v>1000</v>
      </c>
      <c r="D18" s="7">
        <v>-31.524215389999998</v>
      </c>
      <c r="E18" s="7">
        <v>-52.629507189999998</v>
      </c>
      <c r="F18" s="1" t="s">
        <v>141</v>
      </c>
      <c r="G18" s="4">
        <v>15.158251762390099</v>
      </c>
      <c r="H18" s="4">
        <v>1433</v>
      </c>
      <c r="I18" s="4">
        <v>23.043333053588899</v>
      </c>
      <c r="J18" s="1">
        <v>19.100000000000001</v>
      </c>
      <c r="K18" s="1">
        <v>23.600000000000001</v>
      </c>
      <c r="L18" s="1">
        <v>4.3899999999999997</v>
      </c>
      <c r="M18" s="1">
        <v>4.2000000000000002</v>
      </c>
      <c r="N18" s="1">
        <v>2.8999999999999999</v>
      </c>
      <c r="O18" s="1">
        <v>3.1000000000000001</v>
      </c>
    </row>
    <row r="19" ht="15">
      <c r="A19" s="1" t="s">
        <v>85</v>
      </c>
      <c r="B19" s="1">
        <v>25</v>
      </c>
      <c r="C19" s="1">
        <f>1000*2</f>
        <v>2000</v>
      </c>
      <c r="D19" s="3">
        <v>-29.447361000000001</v>
      </c>
      <c r="E19" s="3">
        <v>-50.548389</v>
      </c>
      <c r="F19" s="1" t="s">
        <v>143</v>
      </c>
      <c r="G19" s="4">
        <v>9.45294094085693</v>
      </c>
      <c r="H19" s="4">
        <v>2048</v>
      </c>
      <c r="I19" s="4">
        <v>19.365333557128899</v>
      </c>
      <c r="J19" s="1">
        <v>25.800000000000001</v>
      </c>
      <c r="K19" s="1">
        <v>46.399999999999999</v>
      </c>
      <c r="L19" s="1">
        <v>5.0199999999999996</v>
      </c>
      <c r="M19" s="1">
        <v>4</v>
      </c>
      <c r="N19" s="1">
        <v>1.7</v>
      </c>
      <c r="O19" s="1">
        <v>4</v>
      </c>
    </row>
    <row r="20" ht="15">
      <c r="A20" s="1" t="s">
        <v>90</v>
      </c>
      <c r="B20" s="1">
        <v>100</v>
      </c>
      <c r="C20" s="1">
        <f>1200*4</f>
        <v>4800</v>
      </c>
      <c r="D20" s="3">
        <v>-29.475427</v>
      </c>
      <c r="E20" s="3">
        <v>-50.350935999999997</v>
      </c>
      <c r="F20" s="1" t="s">
        <v>143</v>
      </c>
      <c r="G20" s="4">
        <v>10.0322275161743</v>
      </c>
      <c r="H20" s="4">
        <v>2036</v>
      </c>
      <c r="I20" s="4">
        <v>19.107500076293899</v>
      </c>
      <c r="J20" s="1">
        <v>23.199999999999999</v>
      </c>
      <c r="K20" s="1">
        <v>46.899999999999999</v>
      </c>
      <c r="L20" s="1">
        <v>5.1900000000000004</v>
      </c>
      <c r="M20" s="1">
        <v>3.6000000000000001</v>
      </c>
      <c r="N20" s="1">
        <v>1.7</v>
      </c>
      <c r="O20" s="1">
        <v>3.3999999999999999</v>
      </c>
    </row>
    <row r="21" ht="15">
      <c r="A21" s="1" t="s">
        <v>92</v>
      </c>
      <c r="B21" s="1">
        <v>25</v>
      </c>
      <c r="C21" s="1">
        <v>1000</v>
      </c>
      <c r="D21" s="3">
        <v>-29.516950000000001</v>
      </c>
      <c r="E21" s="3">
        <v>-50.912993999999998</v>
      </c>
      <c r="F21" s="1" t="s">
        <v>141</v>
      </c>
      <c r="G21" s="4">
        <v>9.6320848464965803</v>
      </c>
      <c r="H21" s="4">
        <v>1739</v>
      </c>
      <c r="I21" s="4">
        <v>21.555000305175799</v>
      </c>
      <c r="J21" s="1">
        <v>23.899999999999999</v>
      </c>
      <c r="K21" s="1">
        <v>44.899999999999999</v>
      </c>
      <c r="L21" s="1">
        <v>5.4800000000000004</v>
      </c>
      <c r="M21" s="1">
        <v>4.2000000000000002</v>
      </c>
      <c r="N21" s="1">
        <v>1.8</v>
      </c>
      <c r="O21" s="1">
        <v>4.2999999999999998</v>
      </c>
    </row>
    <row r="22" ht="15">
      <c r="A22" s="1" t="s">
        <v>93</v>
      </c>
      <c r="B22" s="1">
        <v>25</v>
      </c>
      <c r="C22" s="1">
        <v>2000</v>
      </c>
      <c r="D22" s="3">
        <v>-29.502027999999999</v>
      </c>
      <c r="E22" s="3">
        <v>-50.997852999999999</v>
      </c>
      <c r="F22" s="1" t="s">
        <v>141</v>
      </c>
      <c r="G22" s="4">
        <v>9.8391094207763707</v>
      </c>
      <c r="H22" s="4">
        <v>1788</v>
      </c>
      <c r="I22" s="4">
        <v>20.8190002441406</v>
      </c>
      <c r="J22" s="1">
        <v>24.600000000000001</v>
      </c>
      <c r="K22" s="1">
        <v>49.600000000000001</v>
      </c>
      <c r="L22" s="1">
        <v>5</v>
      </c>
      <c r="M22" s="1">
        <v>4.7999999999999998</v>
      </c>
      <c r="N22" s="1">
        <v>1.5</v>
      </c>
      <c r="O22" s="1">
        <v>3.7000000000000002</v>
      </c>
    </row>
    <row r="23" ht="15">
      <c r="A23" s="1" t="s">
        <v>94</v>
      </c>
      <c r="B23" s="1">
        <v>100</v>
      </c>
      <c r="C23" s="1">
        <v>600</v>
      </c>
      <c r="D23" s="6">
        <v>-29.593974123799999</v>
      </c>
      <c r="E23" s="6">
        <v>-50.016879987599999</v>
      </c>
      <c r="F23" s="1" t="s">
        <v>145</v>
      </c>
      <c r="G23" s="4">
        <v>12.882916450500501</v>
      </c>
      <c r="H23" s="4">
        <v>1477</v>
      </c>
      <c r="I23" s="4">
        <v>23.4431667327881</v>
      </c>
      <c r="J23" s="1">
        <v>25.899999999999999</v>
      </c>
      <c r="K23" s="1">
        <v>21.899999999999999</v>
      </c>
      <c r="L23" s="1">
        <v>5.2400000000000002</v>
      </c>
      <c r="M23" s="1">
        <v>3.6000000000000001</v>
      </c>
      <c r="N23" s="1">
        <v>7.2000000000000002</v>
      </c>
      <c r="O23" s="1">
        <v>5</v>
      </c>
    </row>
    <row r="24" ht="15">
      <c r="A24" s="1" t="s">
        <v>95</v>
      </c>
      <c r="B24" s="1">
        <v>100</v>
      </c>
      <c r="C24" s="1">
        <v>700</v>
      </c>
      <c r="D24" s="6">
        <v>-29.633692415500001</v>
      </c>
      <c r="E24" s="6">
        <v>-50.0718370859</v>
      </c>
      <c r="F24" s="1" t="s">
        <v>145</v>
      </c>
      <c r="G24" s="4">
        <v>12.882916450500501</v>
      </c>
      <c r="H24" s="4">
        <v>1477</v>
      </c>
      <c r="I24" s="4">
        <v>23.4431667327881</v>
      </c>
      <c r="J24" s="1">
        <v>22.399999999999999</v>
      </c>
      <c r="K24" s="1">
        <v>20.199999999999999</v>
      </c>
      <c r="L24" s="1">
        <v>4.25</v>
      </c>
      <c r="M24" s="1">
        <v>3.6000000000000001</v>
      </c>
      <c r="N24" s="1">
        <v>7.2000000000000002</v>
      </c>
      <c r="O24" s="1">
        <v>3.8999999999999999</v>
      </c>
    </row>
    <row r="25" ht="15">
      <c r="A25" s="1" t="s">
        <v>96</v>
      </c>
      <c r="B25" s="1">
        <v>100</v>
      </c>
      <c r="C25" s="1">
        <v>800</v>
      </c>
      <c r="D25" s="6">
        <v>-32.560876878499997</v>
      </c>
      <c r="E25" s="6">
        <v>-52.508538760999997</v>
      </c>
      <c r="F25" s="1" t="s">
        <v>145</v>
      </c>
      <c r="G25" s="4">
        <v>15.037548065185501</v>
      </c>
      <c r="H25" s="4">
        <v>1246</v>
      </c>
      <c r="I25" s="4">
        <v>23.102832794189499</v>
      </c>
      <c r="J25" s="1">
        <v>26.800000000000001</v>
      </c>
      <c r="K25" s="1">
        <v>22.699999999999999</v>
      </c>
      <c r="L25" s="1">
        <v>3.9199999999999999</v>
      </c>
      <c r="M25" s="1">
        <v>3.7000000000000002</v>
      </c>
      <c r="N25" s="1">
        <v>4.2000000000000002</v>
      </c>
      <c r="O25" s="1">
        <v>4</v>
      </c>
    </row>
    <row r="26" ht="15">
      <c r="A26" s="1" t="s">
        <v>97</v>
      </c>
      <c r="B26" s="1">
        <v>100</v>
      </c>
      <c r="C26" s="1">
        <v>1500</v>
      </c>
      <c r="D26" s="6">
        <v>-31.220075078000001</v>
      </c>
      <c r="E26" s="6">
        <v>-50.962793404700001</v>
      </c>
      <c r="F26" s="1" t="s">
        <v>145</v>
      </c>
      <c r="G26" s="4">
        <v>14.210645675659199</v>
      </c>
      <c r="H26" s="4">
        <v>1382</v>
      </c>
      <c r="I26" s="4">
        <v>23.438499450683601</v>
      </c>
      <c r="J26" s="1">
        <v>26.699999999999999</v>
      </c>
      <c r="K26" s="1">
        <v>22.300000000000001</v>
      </c>
      <c r="L26" s="1">
        <v>4.6699999999999999</v>
      </c>
      <c r="M26" s="1">
        <v>3.7000000000000002</v>
      </c>
      <c r="N26" s="1">
        <v>4.2999999999999998</v>
      </c>
      <c r="O26" s="1">
        <v>3.8999999999999999</v>
      </c>
    </row>
    <row r="27" ht="15">
      <c r="A27" s="1" t="s">
        <v>98</v>
      </c>
      <c r="B27" s="1">
        <v>100</v>
      </c>
      <c r="C27" s="1">
        <v>1000</v>
      </c>
      <c r="D27" s="6">
        <v>-29.362678934600002</v>
      </c>
      <c r="E27" s="6">
        <v>-49.762452785500003</v>
      </c>
      <c r="F27" s="1" t="s">
        <v>145</v>
      </c>
      <c r="G27" s="4">
        <v>15.1452836990356</v>
      </c>
      <c r="H27" s="4">
        <v>1425</v>
      </c>
      <c r="I27" s="4">
        <v>23.384815216064499</v>
      </c>
      <c r="J27" s="1">
        <v>22.300000000000001</v>
      </c>
      <c r="K27" s="1">
        <v>27.5</v>
      </c>
      <c r="L27" s="1">
        <v>4.04</v>
      </c>
      <c r="M27" s="1">
        <v>3.6000000000000001</v>
      </c>
      <c r="N27" s="1">
        <v>2.6000000000000001</v>
      </c>
      <c r="O27" s="1">
        <v>4</v>
      </c>
    </row>
    <row r="28" ht="15">
      <c r="A28" s="1" t="s">
        <v>99</v>
      </c>
      <c r="B28" s="1">
        <v>25</v>
      </c>
      <c r="C28" s="1">
        <v>2500</v>
      </c>
      <c r="D28" s="3">
        <v>-27.136524999999999</v>
      </c>
      <c r="E28" s="3">
        <v>-53.879736999999999</v>
      </c>
      <c r="F28" s="1" t="s">
        <v>141</v>
      </c>
      <c r="G28" s="4">
        <v>11.049974441528301</v>
      </c>
      <c r="H28" s="4">
        <v>1856</v>
      </c>
      <c r="I28" s="4">
        <v>24.394332885742202</v>
      </c>
      <c r="J28" s="1">
        <v>24.399999999999999</v>
      </c>
      <c r="K28" s="1">
        <v>38</v>
      </c>
      <c r="L28" s="1">
        <v>6</v>
      </c>
      <c r="M28" s="1">
        <v>4.0999999999999996</v>
      </c>
      <c r="N28" s="1">
        <v>2.2999999999999998</v>
      </c>
      <c r="O28" s="1">
        <v>3.7000000000000002</v>
      </c>
    </row>
    <row r="29" ht="15">
      <c r="A29" s="1" t="s">
        <v>106</v>
      </c>
      <c r="B29" s="1">
        <v>25</v>
      </c>
      <c r="C29" s="1">
        <v>1000</v>
      </c>
      <c r="D29" s="3">
        <v>-27.182455999999998</v>
      </c>
      <c r="E29" s="3">
        <v>-53.847662999999997</v>
      </c>
      <c r="F29" s="1" t="s">
        <v>141</v>
      </c>
      <c r="G29" s="4">
        <v>10.803194999694799</v>
      </c>
      <c r="H29" s="4">
        <v>1859</v>
      </c>
      <c r="I29" s="4">
        <v>24.030166625976602</v>
      </c>
      <c r="J29" s="1">
        <v>24.300000000000001</v>
      </c>
      <c r="K29" s="1">
        <v>40.5</v>
      </c>
      <c r="L29" s="1">
        <v>5.8300000000000001</v>
      </c>
      <c r="M29" s="1">
        <v>3.8999999999999999</v>
      </c>
      <c r="N29" s="1">
        <v>2.2999999999999998</v>
      </c>
      <c r="O29" s="1">
        <v>3.3999999999999999</v>
      </c>
    </row>
    <row r="30" ht="15">
      <c r="A30" s="1" t="s">
        <v>107</v>
      </c>
      <c r="B30" s="1">
        <v>25</v>
      </c>
      <c r="C30" s="1">
        <v>1000</v>
      </c>
      <c r="D30" s="3">
        <v>-27.218661999999998</v>
      </c>
      <c r="E30" s="3">
        <v>-53.852178000000002</v>
      </c>
      <c r="F30" s="1" t="s">
        <v>141</v>
      </c>
      <c r="G30" s="4">
        <v>10.803194999694799</v>
      </c>
      <c r="H30" s="4">
        <v>1859</v>
      </c>
      <c r="I30" s="4">
        <v>24.030166625976602</v>
      </c>
      <c r="J30" s="1">
        <v>20.899999999999999</v>
      </c>
      <c r="K30" s="1">
        <v>39.600000000000001</v>
      </c>
      <c r="L30" s="1">
        <v>5.75</v>
      </c>
      <c r="M30" s="1">
        <v>6.4000000000000004</v>
      </c>
      <c r="N30" s="1">
        <v>2.2999999999999998</v>
      </c>
      <c r="O30" s="1">
        <v>3.6000000000000001</v>
      </c>
    </row>
    <row r="31" ht="15">
      <c r="A31" s="1" t="s">
        <v>108</v>
      </c>
      <c r="B31" s="1">
        <v>4</v>
      </c>
      <c r="C31" s="1">
        <v>120</v>
      </c>
      <c r="D31" s="3">
        <v>-27.205511000000001</v>
      </c>
      <c r="E31" s="3">
        <v>-53.916193</v>
      </c>
      <c r="F31" s="1" t="s">
        <v>141</v>
      </c>
      <c r="G31" s="4">
        <v>10.803194999694799</v>
      </c>
      <c r="H31" s="4">
        <v>1859</v>
      </c>
      <c r="I31" s="4">
        <v>24.030166625976602</v>
      </c>
      <c r="J31" s="1">
        <v>23.600000000000001</v>
      </c>
      <c r="K31" s="1">
        <v>40.5</v>
      </c>
      <c r="L31" s="1">
        <v>5.8099999999999996</v>
      </c>
      <c r="M31" s="1">
        <v>5.2999999999999998</v>
      </c>
      <c r="N31" s="1">
        <v>2.2999999999999998</v>
      </c>
      <c r="O31" s="1">
        <v>3.6000000000000001</v>
      </c>
    </row>
    <row r="32" ht="15">
      <c r="A32" s="1" t="s">
        <v>110</v>
      </c>
      <c r="B32" s="1">
        <v>100</v>
      </c>
      <c r="C32" s="1">
        <v>2000</v>
      </c>
      <c r="D32" s="3">
        <v>-27.728943000000001</v>
      </c>
      <c r="E32" s="3">
        <v>-48.534573999999999</v>
      </c>
      <c r="F32" s="1" t="s">
        <v>139</v>
      </c>
      <c r="G32" s="4">
        <v>22.269617080688501</v>
      </c>
      <c r="H32" s="4">
        <v>1562</v>
      </c>
      <c r="I32" s="4">
        <v>23.665981292724599</v>
      </c>
      <c r="J32" s="1">
        <v>22</v>
      </c>
      <c r="K32" s="1">
        <v>39.899999999999999</v>
      </c>
      <c r="L32" s="1">
        <v>3.5899999999999999</v>
      </c>
      <c r="M32" s="1">
        <v>3.2999999999999998</v>
      </c>
      <c r="N32" s="1">
        <v>2.6000000000000001</v>
      </c>
      <c r="O32" s="1">
        <v>2.3999999999999999</v>
      </c>
    </row>
    <row r="33" ht="15">
      <c r="A33" s="1" t="s">
        <v>111</v>
      </c>
      <c r="B33" s="1">
        <v>100</v>
      </c>
      <c r="C33" s="1">
        <v>1500</v>
      </c>
      <c r="D33" s="3">
        <v>-27.732482000000001</v>
      </c>
      <c r="E33" s="3">
        <v>-48.514285999999998</v>
      </c>
      <c r="F33" s="1" t="s">
        <v>145</v>
      </c>
      <c r="G33" s="4">
        <v>22.269617080688501</v>
      </c>
      <c r="H33" s="4">
        <v>1562</v>
      </c>
      <c r="I33" s="4">
        <v>23.665981292724599</v>
      </c>
      <c r="J33" s="1">
        <v>29.300000000000001</v>
      </c>
      <c r="K33" s="1">
        <v>35.5</v>
      </c>
      <c r="L33" s="1">
        <v>4.1799999999999997</v>
      </c>
      <c r="M33" s="1">
        <v>3.1000000000000001</v>
      </c>
      <c r="N33" s="1">
        <v>2.6000000000000001</v>
      </c>
      <c r="O33" s="1">
        <v>5.7999999999999998</v>
      </c>
    </row>
    <row r="34" ht="15">
      <c r="A34" s="1" t="s">
        <v>114</v>
      </c>
      <c r="B34" s="1">
        <v>36</v>
      </c>
      <c r="C34" s="1">
        <v>576</v>
      </c>
      <c r="D34" s="3">
        <v>-28.205552000000001</v>
      </c>
      <c r="E34" s="3">
        <v>-49.376359000000001</v>
      </c>
      <c r="F34" s="1" t="s">
        <v>143</v>
      </c>
      <c r="G34" s="4">
        <v>27.3013095855713</v>
      </c>
      <c r="H34" s="4">
        <v>1484</v>
      </c>
      <c r="I34" s="4">
        <v>21.905166625976602</v>
      </c>
      <c r="J34" s="1">
        <v>21.300000000000001</v>
      </c>
      <c r="K34" s="1">
        <v>45.200000000000003</v>
      </c>
      <c r="L34" s="1">
        <v>3.2400000000000002</v>
      </c>
      <c r="M34" s="1">
        <v>2.7999999999999998</v>
      </c>
      <c r="N34" s="1">
        <v>2.2999999999999998</v>
      </c>
      <c r="O34" s="1">
        <v>2.2999999999999998</v>
      </c>
    </row>
    <row r="35" ht="15">
      <c r="A35" s="1" t="s">
        <v>119</v>
      </c>
      <c r="B35" s="1">
        <v>4</v>
      </c>
      <c r="C35" s="1">
        <v>1280</v>
      </c>
      <c r="D35" s="3">
        <v>-28.522345999999999</v>
      </c>
      <c r="E35" s="3">
        <v>-49.331584999999997</v>
      </c>
      <c r="F35" s="1" t="s">
        <v>139</v>
      </c>
      <c r="G35" s="4">
        <v>27.495883941650401</v>
      </c>
      <c r="H35" s="4">
        <v>1418</v>
      </c>
      <c r="I35" s="4">
        <v>23.194499969482401</v>
      </c>
      <c r="J35" s="1">
        <v>21.600000000000001</v>
      </c>
      <c r="K35" s="1">
        <v>38</v>
      </c>
      <c r="L35" s="1">
        <v>3.21</v>
      </c>
      <c r="M35" s="1">
        <v>2.7999999999999998</v>
      </c>
      <c r="N35" s="1">
        <v>2.3999999999999999</v>
      </c>
      <c r="O35" s="1">
        <v>3.1000000000000001</v>
      </c>
    </row>
    <row r="36" ht="15">
      <c r="A36" s="1" t="s">
        <v>157</v>
      </c>
      <c r="G36" s="8">
        <f>AVERAGE(G2:G35)</f>
        <v>14.824036794550301</v>
      </c>
      <c r="H36" s="8">
        <f>AVERAGE(H2:H35)</f>
        <v>1614.23529411765</v>
      </c>
      <c r="I36" s="8">
        <f>AVERAGE(I2:I35)</f>
        <v>22.680559438817699</v>
      </c>
      <c r="J36" s="8">
        <f>AVERAGE(J2:J35)</f>
        <v>23.282352941176502</v>
      </c>
      <c r="K36" s="8">
        <f>AVERAGE(K2:K35)</f>
        <v>33.444117647058803</v>
      </c>
      <c r="L36" s="8">
        <f>AVERAGE(L2:L35)</f>
        <v>4.6394117647058799</v>
      </c>
      <c r="M36" s="8">
        <f>AVERAGE(M2:M35)</f>
        <v>3.9882352941176502</v>
      </c>
      <c r="N36" s="8">
        <f>AVERAGE(N2:N35)</f>
        <v>3.02647058823529</v>
      </c>
      <c r="O36" s="8">
        <f>AVERAGE(O2:O35)</f>
        <v>3.75</v>
      </c>
    </row>
    <row r="37" ht="15">
      <c r="A37" s="1" t="s">
        <v>158</v>
      </c>
      <c r="G37" s="8">
        <f>_xlfn.STDEV.S(G2:G35)</f>
        <v>6.72417483183456</v>
      </c>
      <c r="H37" s="8">
        <f>_xlfn.STDEV.S(H2:H35)</f>
        <v>233.812286638757</v>
      </c>
      <c r="I37" s="8">
        <f>_xlfn.STDEV.S(I2:I35)</f>
        <v>1.5194415844107501</v>
      </c>
      <c r="J37" s="8">
        <f>_xlfn.STDEV.S(J2:J35)</f>
        <v>3.0180738979481498</v>
      </c>
      <c r="K37" s="8">
        <f>_xlfn.STDEV.S(K2:K35)</f>
        <v>9.7440950627444298</v>
      </c>
      <c r="L37" s="8">
        <f>_xlfn.STDEV.S(L2:L35)</f>
        <v>0.76175610976643204</v>
      </c>
      <c r="M37" s="8">
        <f>_xlfn.STDEV.S(M2:M35)</f>
        <v>0.725202043271434</v>
      </c>
      <c r="N37" s="8">
        <f>_xlfn.STDEV.S(N2:N35)</f>
        <v>1.4119208544067701</v>
      </c>
      <c r="O37" s="8">
        <f>_xlfn.STDEV.S(O2:O35)</f>
        <v>0.84790293898499602</v>
      </c>
    </row>
  </sheetData>
  <printOptions headings="0" gridLines="0" horizontalCentered="0" verticalCentered="0"/>
  <pageMargins left="0.70069444444444484" right="0.70069444444444484" top="0.75208333333333299" bottom="0.75208333333333299"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1" showRowColHeaders="1" showZeros="1" rightToLeft="0" view="normal" topLeftCell="A1" zoomScale="130" workbookViewId="0">
      <selection activeCell="B10" activeCellId="0" sqref="B10"/>
    </sheetView>
  </sheetViews>
  <sheetFormatPr defaultColWidth="11.53515625" defaultRowHeight="13.800000000000001" customHeight="1"/>
  <cols>
    <col customWidth="1" min="1" max="1" style="1" width="9.0700000000000003"/>
    <col customWidth="1" min="2" max="2" style="1" width="13.029999999999999"/>
    <col customWidth="1" min="3" max="3" style="1" width="13.9"/>
    <col customWidth="1" min="4" max="4" style="1" width="12.859999999999999"/>
    <col customWidth="1" min="5" max="5" style="1" width="20.140000000000001"/>
    <col customWidth="1" min="6" max="6" style="1" width="19.120000000000001"/>
  </cols>
  <sheetData>
    <row r="1" ht="13.800000000000001">
      <c r="A1" s="1" t="s">
        <v>159</v>
      </c>
      <c r="B1" s="1" t="s">
        <v>160</v>
      </c>
      <c r="C1" s="1" t="s">
        <v>161</v>
      </c>
      <c r="D1" s="1" t="s">
        <v>162</v>
      </c>
      <c r="E1" s="1" t="s">
        <v>163</v>
      </c>
      <c r="F1" s="1" t="s">
        <v>164</v>
      </c>
    </row>
    <row r="2" ht="13.800000000000001">
      <c r="A2" s="1" t="s">
        <v>140</v>
      </c>
      <c r="B2" s="3">
        <v>-25.563548000000001</v>
      </c>
      <c r="C2" s="3">
        <v>-48.309151999999997</v>
      </c>
      <c r="D2" s="1">
        <v>4</v>
      </c>
      <c r="E2" s="1">
        <v>480</v>
      </c>
      <c r="F2" s="1" t="s">
        <v>165</v>
      </c>
    </row>
    <row r="3" ht="13.800000000000001">
      <c r="A3" s="1" t="s">
        <v>146</v>
      </c>
      <c r="B3" s="6">
        <v>-29.334814444100001</v>
      </c>
      <c r="C3" s="6">
        <v>-49.839226742999998</v>
      </c>
      <c r="D3" s="1">
        <v>100</v>
      </c>
      <c r="E3" s="1">
        <v>1900</v>
      </c>
      <c r="F3" s="1" t="s">
        <v>165</v>
      </c>
    </row>
    <row r="4" ht="13.800000000000001">
      <c r="A4" s="1" t="s">
        <v>154</v>
      </c>
      <c r="B4" s="3">
        <v>-27.728943000000001</v>
      </c>
      <c r="C4" s="3">
        <v>-48.534573999999999</v>
      </c>
      <c r="D4" s="1">
        <v>100</v>
      </c>
      <c r="E4" s="1">
        <v>2000</v>
      </c>
      <c r="F4" s="1" t="s">
        <v>165</v>
      </c>
    </row>
    <row r="5" ht="13.800000000000001">
      <c r="A5" s="1" t="s">
        <v>156</v>
      </c>
      <c r="B5" s="3">
        <v>-28.522345999999999</v>
      </c>
      <c r="C5" s="3">
        <v>-49.331584999999997</v>
      </c>
      <c r="D5" s="1">
        <v>4</v>
      </c>
      <c r="E5" s="1">
        <v>1280</v>
      </c>
      <c r="F5" s="1" t="s">
        <v>165</v>
      </c>
    </row>
    <row r="6" ht="13.800000000000001">
      <c r="A6" s="1" t="s">
        <v>142</v>
      </c>
      <c r="B6" s="3">
        <v>-29.593205999999999</v>
      </c>
      <c r="C6" s="3">
        <v>-51.140300000000003</v>
      </c>
      <c r="D6" s="1">
        <v>25</v>
      </c>
      <c r="E6" s="1">
        <v>250</v>
      </c>
      <c r="F6" s="1" t="s">
        <v>166</v>
      </c>
    </row>
    <row r="7" ht="13.800000000000001">
      <c r="A7" s="1" t="s">
        <v>142</v>
      </c>
      <c r="B7" s="3">
        <v>-29.595517000000001</v>
      </c>
      <c r="C7" s="3">
        <v>-51.190300000000001</v>
      </c>
      <c r="D7" s="1">
        <v>25</v>
      </c>
      <c r="E7" s="1">
        <v>250</v>
      </c>
      <c r="F7" s="1" t="s">
        <v>166</v>
      </c>
    </row>
    <row r="8" ht="13.800000000000001">
      <c r="A8" s="1" t="s">
        <v>142</v>
      </c>
      <c r="B8" s="3">
        <v>-29.546382999999999</v>
      </c>
      <c r="C8" s="3">
        <v>-51.130650000000003</v>
      </c>
      <c r="D8" s="1">
        <v>25</v>
      </c>
      <c r="E8" s="1">
        <v>250</v>
      </c>
      <c r="F8" s="1" t="s">
        <v>166</v>
      </c>
    </row>
    <row r="9" ht="13.800000000000001">
      <c r="A9" s="1" t="s">
        <v>144</v>
      </c>
      <c r="B9" s="3">
        <v>-29.583333</v>
      </c>
      <c r="C9" s="3">
        <v>-50.433332999999998</v>
      </c>
      <c r="D9" s="1">
        <v>25</v>
      </c>
      <c r="E9" s="1">
        <v>600</v>
      </c>
      <c r="F9" s="1" t="s">
        <v>166</v>
      </c>
    </row>
    <row r="10" ht="13.800000000000001">
      <c r="A10" s="1" t="s">
        <v>146</v>
      </c>
      <c r="B10" s="3">
        <v>-31.498150583000001</v>
      </c>
      <c r="C10" s="3">
        <v>-52.712827330000003</v>
      </c>
      <c r="D10" s="1">
        <v>100</v>
      </c>
      <c r="E10" s="1">
        <f t="shared" ref="E10:E13" si="2">100*10</f>
        <v>1000</v>
      </c>
      <c r="F10" s="1" t="s">
        <v>166</v>
      </c>
    </row>
    <row r="11" ht="13.800000000000001">
      <c r="A11" s="1" t="s">
        <v>146</v>
      </c>
      <c r="B11" s="7">
        <v>-31.43089355</v>
      </c>
      <c r="C11" s="7">
        <v>-52.6244151</v>
      </c>
      <c r="D11" s="1">
        <v>100</v>
      </c>
      <c r="E11" s="1">
        <f t="shared" si="2"/>
        <v>1000</v>
      </c>
      <c r="F11" s="1" t="s">
        <v>166</v>
      </c>
    </row>
    <row r="12" ht="13.800000000000001">
      <c r="A12" s="1" t="s">
        <v>146</v>
      </c>
      <c r="B12" s="7">
        <v>-31.442071550000001</v>
      </c>
      <c r="C12" s="7">
        <v>-52.622304489999998</v>
      </c>
      <c r="D12" s="1">
        <v>100</v>
      </c>
      <c r="E12" s="1">
        <f t="shared" si="2"/>
        <v>1000</v>
      </c>
      <c r="F12" s="1" t="s">
        <v>166</v>
      </c>
    </row>
    <row r="13" ht="13.800000000000001">
      <c r="A13" s="1" t="s">
        <v>146</v>
      </c>
      <c r="B13" s="7">
        <v>-31.524215389999998</v>
      </c>
      <c r="C13" s="7">
        <v>-52.629507189999998</v>
      </c>
      <c r="D13" s="1">
        <v>100</v>
      </c>
      <c r="E13" s="1">
        <f t="shared" si="2"/>
        <v>1000</v>
      </c>
      <c r="F13" s="1" t="s">
        <v>166</v>
      </c>
    </row>
    <row r="14" ht="13.800000000000001">
      <c r="A14" s="1" t="s">
        <v>151</v>
      </c>
      <c r="B14" s="3">
        <v>-29.516950000000001</v>
      </c>
      <c r="C14" s="3">
        <v>-50.912993999999998</v>
      </c>
      <c r="D14" s="1">
        <v>25</v>
      </c>
      <c r="E14" s="1">
        <v>1000</v>
      </c>
      <c r="F14" s="1" t="s">
        <v>166</v>
      </c>
    </row>
    <row r="15" ht="13.800000000000001">
      <c r="A15" s="1" t="s">
        <v>151</v>
      </c>
      <c r="B15" s="3">
        <v>-29.502027999999999</v>
      </c>
      <c r="C15" s="3">
        <v>-50.997852999999999</v>
      </c>
      <c r="D15" s="1">
        <v>25</v>
      </c>
      <c r="E15" s="1">
        <v>2000</v>
      </c>
      <c r="F15" s="1" t="s">
        <v>166</v>
      </c>
    </row>
    <row r="16" ht="13.800000000000001">
      <c r="A16" s="1" t="s">
        <v>152</v>
      </c>
      <c r="B16" s="3">
        <v>-27.136524999999999</v>
      </c>
      <c r="C16" s="3">
        <v>-53.879736999999999</v>
      </c>
      <c r="D16" s="1">
        <v>25</v>
      </c>
      <c r="E16" s="1">
        <v>2500</v>
      </c>
      <c r="F16" s="1" t="s">
        <v>166</v>
      </c>
    </row>
    <row r="17" ht="13.800000000000001">
      <c r="A17" s="1" t="s">
        <v>152</v>
      </c>
      <c r="B17" s="3">
        <v>-27.182455999999998</v>
      </c>
      <c r="C17" s="3">
        <v>-53.847662999999997</v>
      </c>
      <c r="D17" s="1">
        <v>25</v>
      </c>
      <c r="E17" s="1">
        <v>1000</v>
      </c>
      <c r="F17" s="1" t="s">
        <v>166</v>
      </c>
    </row>
    <row r="18" ht="13.800000000000001">
      <c r="A18" s="1" t="s">
        <v>152</v>
      </c>
      <c r="B18" s="3">
        <v>-27.218661999999998</v>
      </c>
      <c r="C18" s="3">
        <v>-53.852178000000002</v>
      </c>
      <c r="D18" s="1">
        <v>25</v>
      </c>
      <c r="E18" s="1">
        <v>1000</v>
      </c>
      <c r="F18" s="1" t="s">
        <v>166</v>
      </c>
    </row>
    <row r="19" ht="13.800000000000001">
      <c r="A19" s="1" t="s">
        <v>153</v>
      </c>
      <c r="B19" s="3">
        <v>-27.205511000000001</v>
      </c>
      <c r="C19" s="3">
        <v>-53.916193</v>
      </c>
      <c r="D19" s="1">
        <v>4</v>
      </c>
      <c r="E19" s="1">
        <v>120</v>
      </c>
      <c r="F19" s="1" t="s">
        <v>166</v>
      </c>
    </row>
    <row r="20" ht="13.800000000000001">
      <c r="A20" s="1" t="s">
        <v>144</v>
      </c>
      <c r="B20" s="3">
        <v>-29.392778</v>
      </c>
      <c r="C20" s="3">
        <v>-50.692222000000001</v>
      </c>
      <c r="D20" s="1">
        <v>25</v>
      </c>
      <c r="E20" s="1">
        <v>600</v>
      </c>
      <c r="F20" s="1" t="s">
        <v>167</v>
      </c>
    </row>
    <row r="21" ht="13.800000000000001">
      <c r="A21" s="1" t="s">
        <v>147</v>
      </c>
      <c r="B21" s="3">
        <v>-29.134468999999999</v>
      </c>
      <c r="C21" s="3">
        <v>-50.118572</v>
      </c>
      <c r="D21" s="1">
        <v>100</v>
      </c>
      <c r="E21" s="1">
        <v>8400</v>
      </c>
      <c r="F21" s="1" t="s">
        <v>167</v>
      </c>
    </row>
    <row r="22" ht="13.800000000000001">
      <c r="A22" s="1" t="s">
        <v>149</v>
      </c>
      <c r="B22" s="3">
        <v>-29.447361000000001</v>
      </c>
      <c r="C22" s="3">
        <v>-50.548389</v>
      </c>
      <c r="D22" s="1">
        <v>25</v>
      </c>
      <c r="E22" s="1">
        <f>1000*2</f>
        <v>2000</v>
      </c>
      <c r="F22" s="1" t="s">
        <v>167</v>
      </c>
    </row>
    <row r="23" ht="13.800000000000001">
      <c r="A23" s="1" t="s">
        <v>150</v>
      </c>
      <c r="B23" s="3">
        <v>-29.475427</v>
      </c>
      <c r="C23" s="3">
        <v>-50.350935999999997</v>
      </c>
      <c r="D23" s="1">
        <v>100</v>
      </c>
      <c r="E23" s="1">
        <f>1200*4</f>
        <v>4800</v>
      </c>
      <c r="F23" s="1" t="s">
        <v>167</v>
      </c>
    </row>
    <row r="24" ht="13.800000000000001">
      <c r="A24" s="1" t="s">
        <v>155</v>
      </c>
      <c r="B24" s="3">
        <v>-28.205552000000001</v>
      </c>
      <c r="C24" s="3">
        <v>-49.376359000000001</v>
      </c>
      <c r="D24" s="1">
        <v>36</v>
      </c>
      <c r="E24" s="1">
        <v>576</v>
      </c>
      <c r="F24" s="1" t="s">
        <v>167</v>
      </c>
    </row>
    <row r="25" ht="13.800000000000001">
      <c r="A25" s="1" t="s">
        <v>146</v>
      </c>
      <c r="B25" s="6">
        <v>-32.021165224100002</v>
      </c>
      <c r="C25" s="6">
        <v>-52.2499380215</v>
      </c>
      <c r="D25" s="1">
        <v>100</v>
      </c>
      <c r="E25" s="1">
        <v>500</v>
      </c>
      <c r="F25" s="1" t="s">
        <v>168</v>
      </c>
    </row>
    <row r="26" ht="13.800000000000001">
      <c r="A26" s="1" t="s">
        <v>146</v>
      </c>
      <c r="B26" s="6">
        <v>-30.0879334107</v>
      </c>
      <c r="C26" s="6">
        <v>-50.235891228500002</v>
      </c>
      <c r="D26" s="1">
        <v>100</v>
      </c>
      <c r="E26" s="1">
        <v>1000</v>
      </c>
      <c r="F26" s="1" t="s">
        <v>168</v>
      </c>
    </row>
    <row r="27" ht="13.800000000000001">
      <c r="A27" s="1" t="s">
        <v>146</v>
      </c>
      <c r="B27" s="6">
        <v>-29.393395911300001</v>
      </c>
      <c r="C27" s="6">
        <v>-49.8649993079</v>
      </c>
      <c r="D27" s="1">
        <v>100</v>
      </c>
      <c r="E27" s="1">
        <v>600</v>
      </c>
      <c r="F27" s="1" t="s">
        <v>168</v>
      </c>
    </row>
    <row r="28" ht="13.800000000000001">
      <c r="A28" s="1" t="s">
        <v>148</v>
      </c>
      <c r="B28" s="3">
        <v>-31.219874000000001</v>
      </c>
      <c r="C28" s="3">
        <v>-50.961620000000003</v>
      </c>
      <c r="D28" s="1">
        <v>4</v>
      </c>
      <c r="E28" s="1">
        <v>120</v>
      </c>
      <c r="F28" s="1" t="s">
        <v>168</v>
      </c>
    </row>
    <row r="29" ht="13.800000000000001">
      <c r="A29" s="1" t="s">
        <v>146</v>
      </c>
      <c r="B29" s="6">
        <v>-29.333648634999999</v>
      </c>
      <c r="C29" s="6">
        <v>-49.923773839900001</v>
      </c>
      <c r="D29" s="1">
        <v>100</v>
      </c>
      <c r="E29" s="1">
        <v>700</v>
      </c>
      <c r="F29" s="1" t="s">
        <v>168</v>
      </c>
    </row>
    <row r="30" ht="13.800000000000001">
      <c r="A30" s="1" t="s">
        <v>146</v>
      </c>
      <c r="B30" s="6">
        <v>-29.593974123799999</v>
      </c>
      <c r="C30" s="6">
        <v>-50.016879987599999</v>
      </c>
      <c r="D30" s="1">
        <v>100</v>
      </c>
      <c r="E30" s="1">
        <v>600</v>
      </c>
      <c r="F30" s="1" t="s">
        <v>168</v>
      </c>
    </row>
    <row r="31" ht="13.800000000000001">
      <c r="A31" s="1" t="s">
        <v>146</v>
      </c>
      <c r="B31" s="6">
        <v>-29.633692415500001</v>
      </c>
      <c r="C31" s="6">
        <v>-50.0718370859</v>
      </c>
      <c r="D31" s="1">
        <v>100</v>
      </c>
      <c r="E31" s="1">
        <v>700</v>
      </c>
      <c r="F31" s="1" t="s">
        <v>168</v>
      </c>
    </row>
    <row r="32" ht="13.800000000000001">
      <c r="A32" s="1" t="s">
        <v>146</v>
      </c>
      <c r="B32" s="6">
        <v>-32.560876878499997</v>
      </c>
      <c r="C32" s="6">
        <v>-52.508538760999997</v>
      </c>
      <c r="D32" s="1">
        <v>100</v>
      </c>
      <c r="E32" s="1">
        <v>800</v>
      </c>
      <c r="F32" s="1" t="s">
        <v>168</v>
      </c>
    </row>
    <row r="33" ht="13.800000000000001">
      <c r="A33" s="1" t="s">
        <v>146</v>
      </c>
      <c r="B33" s="6">
        <v>-31.220075078000001</v>
      </c>
      <c r="C33" s="6">
        <v>-50.962793404700001</v>
      </c>
      <c r="D33" s="1">
        <v>100</v>
      </c>
      <c r="E33" s="1">
        <v>1500</v>
      </c>
      <c r="F33" s="1" t="s">
        <v>168</v>
      </c>
    </row>
    <row r="34" ht="13.800000000000001">
      <c r="A34" s="1" t="s">
        <v>146</v>
      </c>
      <c r="B34" s="6">
        <v>-29.362678934600002</v>
      </c>
      <c r="C34" s="6">
        <v>-49.762452785500003</v>
      </c>
      <c r="D34" s="1">
        <v>100</v>
      </c>
      <c r="E34" s="1">
        <v>1000</v>
      </c>
      <c r="F34" s="1" t="s">
        <v>168</v>
      </c>
    </row>
    <row r="35" ht="13.800000000000001">
      <c r="A35" s="1" t="s">
        <v>154</v>
      </c>
      <c r="B35" s="3">
        <v>-27.732482000000001</v>
      </c>
      <c r="C35" s="3">
        <v>-48.514285999999998</v>
      </c>
      <c r="D35" s="1">
        <v>100</v>
      </c>
      <c r="E35" s="1">
        <v>1500</v>
      </c>
      <c r="F35" s="1" t="s">
        <v>168</v>
      </c>
    </row>
  </sheetData>
  <autoFilter ref="B1:F35"/>
  <printOptions headings="0" gridLines="0" horizontalCentered="0" verticalCentered="0"/>
  <pageMargins left="0.78750000000000009" right="0.78750000000000009" top="1.05277777777778" bottom="1.05277777777778" header="0.78750000000000009" footer="0.78750000000000009"/>
  <pageSetup paperSize="9" scale="100" fitToWidth="1" fitToHeight="1" pageOrder="downThenOver" orientation="portrait" usePrinterDefaults="1" blackAndWhite="0" draft="0" cellComments="none" useFirstPageNumber="0" errors="displayed" horizontalDpi="300" verticalDpi="300" copies="1"/>
  <headerFooter>
    <oddHeader>&amp;C&amp;"Times New Roman,Normal"&amp;12&amp;Kffffff&amp;A</oddHeader>
    <oddFooter>&amp;C&amp;"Times New Roman,Normal"&amp;12&amp;KffffffPágina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1" showRowColHeaders="1" showZeros="1" rightToLeft="0" view="normal" zoomScale="100" workbookViewId="0">
      <selection activeCell="B1" activeCellId="0" sqref="B1"/>
    </sheetView>
  </sheetViews>
  <sheetFormatPr defaultColWidth="11.53515625" defaultRowHeight="13.800000000000001" customHeight="1"/>
  <cols>
    <col customWidth="1" min="1" max="1" style="1" width="17.390000000000001"/>
    <col customWidth="1" min="2" max="2" style="1" width="57.469999999999999"/>
    <col customWidth="1" min="3" max="4" style="4" width="11.421875"/>
    <col customWidth="1" min="5" max="5" style="1" width="11.53515625"/>
    <col customWidth="1" min="6" max="6" style="1" width="10.539999999999999"/>
  </cols>
  <sheetData>
    <row r="1" ht="14.25">
      <c r="A1" s="1" t="s">
        <v>169</v>
      </c>
      <c r="B1" s="1" t="s">
        <v>170</v>
      </c>
      <c r="C1" s="9" t="s">
        <v>171</v>
      </c>
      <c r="D1" s="9" t="s">
        <v>172</v>
      </c>
      <c r="E1" s="10" t="s">
        <v>173</v>
      </c>
      <c r="F1" s="1"/>
    </row>
    <row r="2" ht="14.25">
      <c r="A2" s="1" t="s">
        <v>174</v>
      </c>
      <c r="B2" s="11" t="s">
        <v>175</v>
      </c>
      <c r="C2" s="9">
        <v>6.6699999999999999</v>
      </c>
      <c r="D2" s="9">
        <v>0.19617647058823501</v>
      </c>
      <c r="E2" s="1">
        <v>1</v>
      </c>
      <c r="F2" s="1"/>
    </row>
    <row r="3" ht="14.25">
      <c r="A3" s="1" t="s">
        <v>176</v>
      </c>
      <c r="B3" s="11" t="s">
        <v>177</v>
      </c>
      <c r="C3" s="9">
        <v>22.050000000000001</v>
      </c>
      <c r="D3" s="9">
        <v>0.64852941176470602</v>
      </c>
      <c r="E3" s="1">
        <v>2</v>
      </c>
      <c r="F3" s="1"/>
    </row>
    <row r="4" ht="14.25">
      <c r="A4" s="1" t="s">
        <v>176</v>
      </c>
      <c r="B4" s="11" t="s">
        <v>178</v>
      </c>
      <c r="C4" s="9">
        <v>162</v>
      </c>
      <c r="D4" s="9">
        <v>4.7647058823529402</v>
      </c>
      <c r="E4" s="1">
        <v>5</v>
      </c>
      <c r="F4" s="1"/>
    </row>
    <row r="5" ht="14.25">
      <c r="A5" s="1" t="s">
        <v>176</v>
      </c>
      <c r="B5" s="11" t="s">
        <v>179</v>
      </c>
      <c r="C5" s="9">
        <v>77</v>
      </c>
      <c r="D5" s="9">
        <v>2.2647058823529398</v>
      </c>
      <c r="E5" s="1">
        <v>2</v>
      </c>
      <c r="F5" s="1"/>
    </row>
    <row r="6" ht="14.25">
      <c r="A6" s="1" t="s">
        <v>176</v>
      </c>
      <c r="B6" s="11" t="s">
        <v>180</v>
      </c>
      <c r="C6" s="9">
        <v>6</v>
      </c>
      <c r="D6" s="9">
        <v>0.17647058823529399</v>
      </c>
      <c r="E6" s="1">
        <v>1</v>
      </c>
      <c r="F6" s="1"/>
    </row>
    <row r="7" ht="14.25">
      <c r="A7" s="1" t="s">
        <v>176</v>
      </c>
      <c r="B7" s="1" t="s">
        <v>181</v>
      </c>
      <c r="C7" s="9">
        <v>9</v>
      </c>
      <c r="D7" s="9">
        <v>0.26470588235294101</v>
      </c>
      <c r="E7" s="1">
        <v>1</v>
      </c>
      <c r="F7" s="1"/>
    </row>
    <row r="8" ht="14.25">
      <c r="A8" s="1" t="s">
        <v>176</v>
      </c>
      <c r="B8" s="11" t="s">
        <v>182</v>
      </c>
      <c r="C8" s="9">
        <v>113.223809523809</v>
      </c>
      <c r="D8" s="9">
        <v>3.33011204481793</v>
      </c>
      <c r="E8" s="1">
        <v>9</v>
      </c>
      <c r="F8" s="1"/>
    </row>
    <row r="9" ht="14.25">
      <c r="A9" s="1" t="s">
        <v>183</v>
      </c>
      <c r="B9" s="11" t="s">
        <v>184</v>
      </c>
      <c r="C9" s="9">
        <v>202.85720952381001</v>
      </c>
      <c r="D9" s="9">
        <v>5.9663885154061598</v>
      </c>
      <c r="E9" s="1">
        <v>5</v>
      </c>
      <c r="F9" s="1"/>
    </row>
    <row r="10" ht="14.25">
      <c r="A10" s="1" t="s">
        <v>183</v>
      </c>
      <c r="B10" s="11" t="s">
        <v>185</v>
      </c>
      <c r="C10" s="9">
        <v>92.5</v>
      </c>
      <c r="D10" s="9">
        <v>2.72058823529412</v>
      </c>
      <c r="E10" s="1">
        <v>2</v>
      </c>
      <c r="F10" s="1"/>
    </row>
    <row r="11" ht="14.25">
      <c r="A11" s="1" t="s">
        <v>183</v>
      </c>
      <c r="B11" s="11" t="s">
        <v>186</v>
      </c>
      <c r="C11" s="9">
        <v>25</v>
      </c>
      <c r="D11" s="9">
        <v>0.73529411764705899</v>
      </c>
      <c r="E11" s="1">
        <v>3</v>
      </c>
      <c r="F11" s="1"/>
    </row>
    <row r="12" ht="14.25">
      <c r="A12" s="1" t="s">
        <v>183</v>
      </c>
      <c r="B12" s="11" t="s">
        <v>187</v>
      </c>
      <c r="C12" s="9">
        <v>79</v>
      </c>
      <c r="D12" s="9">
        <v>2.3235294117647101</v>
      </c>
      <c r="E12" s="1">
        <v>2</v>
      </c>
      <c r="F12" s="1"/>
    </row>
    <row r="13" ht="14.25">
      <c r="A13" s="1" t="s">
        <v>183</v>
      </c>
      <c r="B13" s="11" t="s">
        <v>188</v>
      </c>
      <c r="C13" s="9">
        <v>28.571400000000001</v>
      </c>
      <c r="D13" s="9">
        <v>0.84033529411764696</v>
      </c>
      <c r="E13" s="1">
        <v>1</v>
      </c>
      <c r="F13" s="1"/>
    </row>
    <row r="14" ht="14.25">
      <c r="A14" s="1" t="s">
        <v>183</v>
      </c>
      <c r="B14" s="11" t="s">
        <v>189</v>
      </c>
      <c r="C14" s="9">
        <v>65.578273809523793</v>
      </c>
      <c r="D14" s="9">
        <v>1.9287727591036401</v>
      </c>
      <c r="E14" s="1">
        <v>3</v>
      </c>
      <c r="F14" s="1"/>
    </row>
    <row r="15" ht="14.25">
      <c r="A15" s="1" t="s">
        <v>183</v>
      </c>
      <c r="B15" s="11" t="s">
        <v>190</v>
      </c>
      <c r="C15" s="9">
        <v>108.96369047619</v>
      </c>
      <c r="D15" s="9">
        <v>3.2048144257703099</v>
      </c>
      <c r="E15" s="1">
        <v>2</v>
      </c>
      <c r="F15" s="1"/>
    </row>
    <row r="16" ht="14.25">
      <c r="A16" s="1" t="s">
        <v>183</v>
      </c>
      <c r="B16" s="11" t="s">
        <v>191</v>
      </c>
      <c r="C16" s="9">
        <v>59.125</v>
      </c>
      <c r="D16" s="9">
        <v>1.7389705882352899</v>
      </c>
      <c r="E16" s="1">
        <v>2</v>
      </c>
      <c r="F16" s="1"/>
    </row>
    <row r="17" ht="14.25">
      <c r="A17" s="1" t="s">
        <v>183</v>
      </c>
      <c r="B17" s="11" t="s">
        <v>192</v>
      </c>
      <c r="C17" s="9">
        <v>4.4559523809523798</v>
      </c>
      <c r="D17" s="9">
        <v>0.13105742296918799</v>
      </c>
      <c r="E17" s="1">
        <v>2</v>
      </c>
      <c r="F17" s="1"/>
    </row>
    <row r="18" ht="14.25">
      <c r="A18" s="1" t="s">
        <v>193</v>
      </c>
      <c r="B18" s="11" t="s">
        <v>194</v>
      </c>
      <c r="C18" s="9">
        <v>705.93747619047599</v>
      </c>
      <c r="D18" s="9">
        <v>20.762866946778701</v>
      </c>
      <c r="E18" s="1">
        <v>21</v>
      </c>
      <c r="F18" s="1"/>
    </row>
    <row r="19" ht="14.25">
      <c r="A19" s="1" t="s">
        <v>193</v>
      </c>
      <c r="B19" s="11" t="s">
        <v>195</v>
      </c>
      <c r="C19" s="9">
        <v>20</v>
      </c>
      <c r="D19" s="9">
        <v>0.58823529411764697</v>
      </c>
      <c r="E19" s="1">
        <v>1</v>
      </c>
      <c r="F19" s="1"/>
    </row>
    <row r="20" ht="14.25">
      <c r="A20" s="1" t="s">
        <v>196</v>
      </c>
      <c r="B20" s="11" t="s">
        <v>197</v>
      </c>
      <c r="C20" s="9">
        <v>4.2000000000000002</v>
      </c>
      <c r="D20" s="9">
        <v>0.123529411764706</v>
      </c>
      <c r="E20" s="1">
        <v>1</v>
      </c>
      <c r="F20" s="1"/>
    </row>
    <row r="21" ht="14.25">
      <c r="A21" s="1" t="s">
        <v>196</v>
      </c>
      <c r="B21" s="11" t="s">
        <v>198</v>
      </c>
      <c r="C21" s="9">
        <v>33.299999999999997</v>
      </c>
      <c r="D21" s="9">
        <v>0.97941176470588198</v>
      </c>
      <c r="E21" s="1">
        <v>1</v>
      </c>
      <c r="F21" s="1"/>
    </row>
    <row r="22" ht="14.25">
      <c r="A22" s="1" t="s">
        <v>196</v>
      </c>
      <c r="B22" s="11" t="s">
        <v>199</v>
      </c>
      <c r="C22" s="9">
        <v>364.080952380952</v>
      </c>
      <c r="D22" s="9">
        <v>10.708263305322101</v>
      </c>
      <c r="E22" s="1">
        <v>14</v>
      </c>
      <c r="F22" s="1"/>
    </row>
    <row r="23" ht="14.25">
      <c r="A23" s="1" t="s">
        <v>196</v>
      </c>
      <c r="B23" s="11" t="s">
        <v>200</v>
      </c>
      <c r="C23" s="9">
        <v>30</v>
      </c>
      <c r="D23" s="9">
        <v>0.88235294117647101</v>
      </c>
      <c r="E23" s="1">
        <v>1</v>
      </c>
      <c r="F23" s="1"/>
    </row>
    <row r="24" ht="14.25">
      <c r="A24" s="1" t="s">
        <v>196</v>
      </c>
      <c r="B24" s="11" t="s">
        <v>201</v>
      </c>
      <c r="C24" s="9">
        <v>20</v>
      </c>
      <c r="D24" s="9">
        <v>0.58823529411764697</v>
      </c>
      <c r="E24" s="1">
        <v>1</v>
      </c>
      <c r="F24" s="1"/>
    </row>
    <row r="25" ht="14.25">
      <c r="A25" s="1" t="s">
        <v>196</v>
      </c>
      <c r="B25" s="11" t="s">
        <v>202</v>
      </c>
      <c r="C25" s="9">
        <v>6.25</v>
      </c>
      <c r="D25" s="9">
        <v>0.183823529411765</v>
      </c>
      <c r="E25" s="1">
        <v>1</v>
      </c>
      <c r="F25" s="1"/>
    </row>
    <row r="26" ht="14.25">
      <c r="A26" s="1" t="s">
        <v>196</v>
      </c>
      <c r="B26" s="11" t="s">
        <v>203</v>
      </c>
      <c r="C26" s="9">
        <v>115.73215714285701</v>
      </c>
      <c r="D26" s="9">
        <v>3.4038869747899199</v>
      </c>
      <c r="E26" s="1">
        <v>3</v>
      </c>
      <c r="F26" s="1"/>
    </row>
    <row r="27" ht="14.25">
      <c r="A27" s="1" t="s">
        <v>196</v>
      </c>
      <c r="B27" s="11" t="s">
        <v>204</v>
      </c>
      <c r="C27" s="9">
        <v>350.52629999999999</v>
      </c>
      <c r="D27" s="9">
        <v>10.309597058823501</v>
      </c>
      <c r="E27" s="1">
        <v>5</v>
      </c>
      <c r="F27" s="1"/>
    </row>
    <row r="28" ht="14.25">
      <c r="A28" s="1" t="s">
        <v>196</v>
      </c>
      <c r="B28" s="11" t="s">
        <v>205</v>
      </c>
      <c r="C28" s="9">
        <v>6.25</v>
      </c>
      <c r="D28" s="9">
        <v>0.183823529411765</v>
      </c>
      <c r="E28" s="1">
        <v>1</v>
      </c>
      <c r="F28" s="1"/>
    </row>
    <row r="29" ht="14.25">
      <c r="A29" s="1" t="s">
        <v>206</v>
      </c>
      <c r="B29" s="11" t="s">
        <v>207</v>
      </c>
      <c r="C29" s="9">
        <v>370.71428571428601</v>
      </c>
      <c r="D29" s="9">
        <v>10.903361344537799</v>
      </c>
      <c r="E29" s="1">
        <v>7</v>
      </c>
      <c r="F29" s="1"/>
    </row>
    <row r="30" ht="14.25">
      <c r="A30" s="1" t="s">
        <v>206</v>
      </c>
      <c r="B30" s="11" t="s">
        <v>208</v>
      </c>
      <c r="C30" s="9">
        <v>39.757142857142902</v>
      </c>
      <c r="D30" s="9">
        <v>1.1693277310924399</v>
      </c>
      <c r="E30" s="1">
        <v>3</v>
      </c>
      <c r="F30" s="1"/>
    </row>
    <row r="31" ht="14.25">
      <c r="A31" s="1" t="s">
        <v>206</v>
      </c>
      <c r="B31" s="11" t="s">
        <v>209</v>
      </c>
      <c r="C31" s="9">
        <v>45</v>
      </c>
      <c r="D31" s="9">
        <v>1.3235294117647101</v>
      </c>
      <c r="E31" s="1">
        <v>1</v>
      </c>
      <c r="F31" s="1"/>
    </row>
    <row r="32" ht="14.25">
      <c r="A32" s="1" t="s">
        <v>206</v>
      </c>
      <c r="B32" s="11" t="s">
        <v>210</v>
      </c>
      <c r="C32" s="9">
        <v>16.199999999999999</v>
      </c>
      <c r="D32" s="9">
        <v>0.47647058823529398</v>
      </c>
      <c r="E32" s="1">
        <v>2</v>
      </c>
      <c r="F32" s="1"/>
    </row>
    <row r="33" ht="14.25">
      <c r="A33" s="1" t="s">
        <v>206</v>
      </c>
      <c r="B33" s="11" t="s">
        <v>211</v>
      </c>
      <c r="C33" s="9">
        <v>2</v>
      </c>
      <c r="D33" s="9">
        <v>0.058823529411764698</v>
      </c>
      <c r="E33" s="1">
        <v>1</v>
      </c>
      <c r="F33" s="1"/>
    </row>
    <row r="34" ht="14.25">
      <c r="A34" s="1" t="s">
        <v>212</v>
      </c>
      <c r="B34" s="11" t="s">
        <v>213</v>
      </c>
      <c r="C34" s="9">
        <v>4.81666666666667</v>
      </c>
      <c r="D34" s="9">
        <v>0.141666666666667</v>
      </c>
      <c r="E34" s="1">
        <v>2</v>
      </c>
      <c r="F34" s="1"/>
    </row>
    <row r="35" ht="14.25">
      <c r="A35" s="1" t="s">
        <v>183</v>
      </c>
      <c r="B35" s="11" t="s">
        <v>214</v>
      </c>
      <c r="C35" s="9">
        <v>189.33330000000001</v>
      </c>
      <c r="D35" s="9">
        <v>5.5686264705882396</v>
      </c>
      <c r="E35" s="1">
        <v>5</v>
      </c>
      <c r="F35" s="1"/>
    </row>
    <row r="36" ht="14.25">
      <c r="A36" s="1" t="s">
        <v>183</v>
      </c>
      <c r="B36" s="11" t="s">
        <v>215</v>
      </c>
      <c r="C36" s="9">
        <v>223.07759999999999</v>
      </c>
      <c r="D36" s="9">
        <v>6.5611058823529396</v>
      </c>
      <c r="E36" s="1">
        <v>8</v>
      </c>
      <c r="F36" s="1"/>
    </row>
    <row r="37" ht="14.25">
      <c r="A37" s="1" t="s">
        <v>183</v>
      </c>
      <c r="B37" s="11" t="s">
        <v>216</v>
      </c>
      <c r="C37" s="9">
        <v>86.25</v>
      </c>
      <c r="D37" s="9">
        <v>2.5367647058823501</v>
      </c>
      <c r="E37" s="1">
        <v>3</v>
      </c>
      <c r="F37" s="1"/>
    </row>
    <row r="38" ht="14.25">
      <c r="A38" s="1" t="s">
        <v>217</v>
      </c>
      <c r="B38" s="11" t="s">
        <v>218</v>
      </c>
      <c r="C38" s="9">
        <v>765.27999999999997</v>
      </c>
      <c r="D38" s="9">
        <v>22.5082352941176</v>
      </c>
      <c r="E38" s="1">
        <v>13</v>
      </c>
      <c r="F38" s="1"/>
    </row>
    <row r="39" ht="14.25">
      <c r="A39" s="1" t="s">
        <v>183</v>
      </c>
      <c r="B39" s="11" t="s">
        <v>219</v>
      </c>
      <c r="C39" s="9">
        <v>162.5</v>
      </c>
      <c r="D39" s="9">
        <v>4.7794117647058796</v>
      </c>
      <c r="E39" s="1">
        <v>2</v>
      </c>
      <c r="F39" s="1"/>
    </row>
    <row r="40" ht="14.25">
      <c r="A40" s="1" t="s">
        <v>220</v>
      </c>
      <c r="B40" s="11" t="s">
        <v>221</v>
      </c>
      <c r="C40" s="9">
        <v>78.5</v>
      </c>
      <c r="D40" s="9">
        <v>2.3088235294117601</v>
      </c>
      <c r="E40" s="1">
        <v>5</v>
      </c>
      <c r="F40" s="1"/>
    </row>
    <row r="41" ht="14.25">
      <c r="A41" s="1" t="s">
        <v>222</v>
      </c>
      <c r="B41" s="11" t="s">
        <v>223</v>
      </c>
      <c r="C41" s="9">
        <v>51.758333333333297</v>
      </c>
      <c r="D41" s="9">
        <v>1.52230392156863</v>
      </c>
      <c r="E41" s="1">
        <v>5</v>
      </c>
      <c r="F41" s="1"/>
    </row>
    <row r="42" ht="14.25">
      <c r="A42" s="1" t="s">
        <v>224</v>
      </c>
      <c r="B42" s="11" t="s">
        <v>225</v>
      </c>
      <c r="C42" s="9">
        <v>232.5</v>
      </c>
      <c r="D42" s="9">
        <v>6.8382352941176503</v>
      </c>
      <c r="E42" s="1">
        <v>5</v>
      </c>
      <c r="F42" s="1"/>
    </row>
    <row r="43" ht="14.25">
      <c r="A43" s="1" t="s">
        <v>222</v>
      </c>
      <c r="B43" s="11" t="s">
        <v>226</v>
      </c>
      <c r="C43" s="9">
        <v>203.995</v>
      </c>
      <c r="D43" s="9">
        <v>5.9998529411764698</v>
      </c>
      <c r="E43" s="1">
        <v>6</v>
      </c>
      <c r="F43" s="1"/>
    </row>
    <row r="44" ht="14.25">
      <c r="A44" s="1" t="s">
        <v>222</v>
      </c>
      <c r="B44" s="11" t="s">
        <v>227</v>
      </c>
      <c r="C44" s="9">
        <v>117.92</v>
      </c>
      <c r="D44" s="9">
        <v>3.4682352941176502</v>
      </c>
      <c r="E44" s="1">
        <v>5</v>
      </c>
      <c r="F44" s="1"/>
    </row>
    <row r="45" ht="14.25">
      <c r="A45" s="1" t="s">
        <v>222</v>
      </c>
      <c r="B45" s="11" t="s">
        <v>228</v>
      </c>
      <c r="C45" s="9">
        <v>62.5</v>
      </c>
      <c r="D45" s="9">
        <v>1.8382352941176501</v>
      </c>
      <c r="E45" s="1">
        <v>3</v>
      </c>
      <c r="F45" s="1"/>
    </row>
    <row r="46" ht="14.25">
      <c r="A46" s="1" t="s">
        <v>176</v>
      </c>
      <c r="B46" s="11" t="s">
        <v>229</v>
      </c>
      <c r="C46" s="9">
        <v>204.33000000000001</v>
      </c>
      <c r="D46" s="9">
        <v>6.0097058823529403</v>
      </c>
      <c r="E46" s="1">
        <v>7</v>
      </c>
      <c r="F46" s="1"/>
    </row>
    <row r="47" ht="14.25">
      <c r="A47" s="1" t="s">
        <v>176</v>
      </c>
      <c r="B47" s="11" t="s">
        <v>230</v>
      </c>
      <c r="C47" s="9">
        <v>68.5</v>
      </c>
      <c r="D47" s="9">
        <v>2.0147058823529398</v>
      </c>
      <c r="E47" s="1">
        <v>5</v>
      </c>
      <c r="F47" s="1"/>
    </row>
    <row r="48" ht="14.25">
      <c r="A48" s="1" t="s">
        <v>176</v>
      </c>
      <c r="B48" s="11" t="s">
        <v>231</v>
      </c>
      <c r="C48" s="9">
        <v>77.829999999999998</v>
      </c>
      <c r="D48" s="9">
        <v>2.2891176470588199</v>
      </c>
      <c r="E48" s="1">
        <v>4</v>
      </c>
      <c r="F48" s="1"/>
    </row>
    <row r="49" ht="14.25">
      <c r="A49" s="1" t="s">
        <v>176</v>
      </c>
      <c r="B49" s="11" t="s">
        <v>232</v>
      </c>
      <c r="C49" s="9">
        <v>228.78333333333299</v>
      </c>
      <c r="D49" s="9">
        <v>6.7289215686274497</v>
      </c>
      <c r="E49" s="1">
        <v>10</v>
      </c>
      <c r="F49" s="1"/>
    </row>
    <row r="50" ht="14.25">
      <c r="A50" s="1" t="s">
        <v>233</v>
      </c>
      <c r="B50" s="11" t="s">
        <v>234</v>
      </c>
      <c r="C50" s="9">
        <v>115</v>
      </c>
      <c r="D50" s="9">
        <v>3.3823529411764701</v>
      </c>
      <c r="E50" s="1">
        <v>2</v>
      </c>
      <c r="F50" s="1"/>
    </row>
    <row r="51" ht="14.25">
      <c r="A51" s="1" t="s">
        <v>235</v>
      </c>
      <c r="B51" s="11" t="s">
        <v>236</v>
      </c>
      <c r="C51" s="9">
        <v>10</v>
      </c>
      <c r="D51" s="9">
        <v>0.29411764705882398</v>
      </c>
      <c r="E51" s="1">
        <v>2</v>
      </c>
      <c r="F51" s="1"/>
    </row>
    <row r="52" ht="14.25">
      <c r="A52" s="1" t="s">
        <v>183</v>
      </c>
      <c r="B52" s="11" t="s">
        <v>237</v>
      </c>
      <c r="C52" s="9">
        <v>81.453599999999994</v>
      </c>
      <c r="D52" s="9">
        <v>2.3956941176470599</v>
      </c>
      <c r="E52" s="1">
        <v>3</v>
      </c>
      <c r="F52" s="1"/>
    </row>
    <row r="53" ht="14.25">
      <c r="A53" s="1" t="s">
        <v>183</v>
      </c>
      <c r="B53" s="11" t="s">
        <v>238</v>
      </c>
      <c r="C53" s="9">
        <v>20</v>
      </c>
      <c r="D53" s="9">
        <v>0.58823529411764697</v>
      </c>
      <c r="E53" s="1">
        <v>1</v>
      </c>
      <c r="F53" s="1"/>
    </row>
    <row r="54" ht="14.25">
      <c r="A54" s="1" t="s">
        <v>183</v>
      </c>
      <c r="B54" s="11" t="s">
        <v>239</v>
      </c>
      <c r="C54" s="9">
        <v>103.75</v>
      </c>
      <c r="D54" s="9">
        <v>3.0514705882352899</v>
      </c>
      <c r="E54" s="1">
        <v>3</v>
      </c>
      <c r="F54" s="1"/>
    </row>
    <row r="55" ht="14.25">
      <c r="A55" s="1" t="s">
        <v>183</v>
      </c>
      <c r="B55" s="11" t="s">
        <v>240</v>
      </c>
      <c r="C55" s="9">
        <v>362.92000000000002</v>
      </c>
      <c r="D55" s="9">
        <v>10.6741176470588</v>
      </c>
      <c r="E55" s="1">
        <v>6</v>
      </c>
      <c r="F55" s="1"/>
    </row>
    <row r="56" ht="14.25">
      <c r="A56" s="1" t="s">
        <v>220</v>
      </c>
      <c r="B56" s="11" t="s">
        <v>241</v>
      </c>
      <c r="C56" s="9">
        <v>4.7619047619047601</v>
      </c>
      <c r="D56" s="9">
        <v>0.140056022408964</v>
      </c>
      <c r="E56" s="1">
        <v>1</v>
      </c>
      <c r="F56" s="1"/>
    </row>
    <row r="57" ht="14.25">
      <c r="A57" s="1" t="s">
        <v>196</v>
      </c>
      <c r="B57" s="11" t="s">
        <v>242</v>
      </c>
      <c r="C57" s="9">
        <v>3.125</v>
      </c>
      <c r="D57" s="9">
        <v>0.091911764705882401</v>
      </c>
      <c r="E57" s="1">
        <v>1</v>
      </c>
      <c r="F57" s="1"/>
    </row>
    <row r="58" ht="14.25">
      <c r="A58" s="1" t="s">
        <v>217</v>
      </c>
      <c r="B58" s="11" t="s">
        <v>243</v>
      </c>
      <c r="C58" s="9">
        <v>425.83333333333297</v>
      </c>
      <c r="D58" s="9">
        <v>12.5245098039216</v>
      </c>
      <c r="E58" s="1">
        <v>9</v>
      </c>
      <c r="F58" s="1"/>
    </row>
    <row r="59" ht="14.25">
      <c r="A59" s="1" t="s">
        <v>244</v>
      </c>
      <c r="B59" s="11" t="s">
        <v>245</v>
      </c>
      <c r="C59" s="9">
        <v>1.25</v>
      </c>
      <c r="D59" s="9">
        <v>0.036764705882352901</v>
      </c>
      <c r="E59" s="1">
        <v>1</v>
      </c>
      <c r="F59" s="1"/>
    </row>
    <row r="60" ht="14.25">
      <c r="A60" s="1" t="s">
        <v>244</v>
      </c>
      <c r="B60" s="11" t="s">
        <v>246</v>
      </c>
      <c r="C60" s="9">
        <v>39.170000000000002</v>
      </c>
      <c r="D60" s="9">
        <v>1.15205882352941</v>
      </c>
      <c r="E60" s="1">
        <v>1</v>
      </c>
      <c r="F60" s="1"/>
    </row>
    <row r="61" ht="14.25">
      <c r="A61" s="1" t="s">
        <v>244</v>
      </c>
      <c r="B61" s="11" t="s">
        <v>247</v>
      </c>
      <c r="C61" s="9">
        <v>164.7619</v>
      </c>
      <c r="D61" s="9">
        <v>4.8459382352941196</v>
      </c>
      <c r="E61" s="1">
        <v>4</v>
      </c>
      <c r="F61" s="1"/>
    </row>
    <row r="62" ht="14.25">
      <c r="A62" s="1" t="s">
        <v>183</v>
      </c>
      <c r="B62" s="11" t="s">
        <v>248</v>
      </c>
      <c r="C62" s="9">
        <v>60.142857142857103</v>
      </c>
      <c r="D62" s="9">
        <v>1.76890756302521</v>
      </c>
      <c r="E62" s="1">
        <v>6</v>
      </c>
      <c r="F62" s="1"/>
    </row>
    <row r="63" ht="14.25">
      <c r="A63" s="1" t="s">
        <v>217</v>
      </c>
      <c r="B63" s="11" t="s">
        <v>249</v>
      </c>
      <c r="C63" s="9">
        <v>205.01089999999999</v>
      </c>
      <c r="D63" s="9">
        <v>6.0297323529411804</v>
      </c>
      <c r="E63" s="1">
        <v>7</v>
      </c>
      <c r="F63" s="1"/>
    </row>
    <row r="64" ht="14.25">
      <c r="A64" s="1" t="s">
        <v>217</v>
      </c>
      <c r="B64" s="11" t="s">
        <v>250</v>
      </c>
      <c r="C64" s="9">
        <v>70</v>
      </c>
      <c r="D64" s="9">
        <v>2.0588235294117601</v>
      </c>
      <c r="E64" s="1">
        <v>1</v>
      </c>
      <c r="F64" s="1"/>
    </row>
    <row r="65" ht="13.800000000000001">
      <c r="A65" s="1" t="s">
        <v>183</v>
      </c>
      <c r="B65" s="11" t="s">
        <v>251</v>
      </c>
      <c r="C65" s="9">
        <v>16.666699999999999</v>
      </c>
      <c r="D65" s="9">
        <v>0.49019705882352899</v>
      </c>
      <c r="E65" s="1">
        <v>1</v>
      </c>
      <c r="F65" s="1"/>
    </row>
    <row r="66" ht="13.800000000000001">
      <c r="A66" s="1" t="s">
        <v>220</v>
      </c>
      <c r="B66" s="11" t="s">
        <v>252</v>
      </c>
      <c r="C66" s="9">
        <v>140.48428571428599</v>
      </c>
      <c r="D66" s="9">
        <v>4.1318907563025196</v>
      </c>
      <c r="E66" s="1">
        <v>9</v>
      </c>
      <c r="F66" s="1"/>
    </row>
    <row r="67" ht="13.800000000000001">
      <c r="A67" s="1" t="s">
        <v>206</v>
      </c>
      <c r="B67" s="11" t="s">
        <v>253</v>
      </c>
      <c r="C67" s="9">
        <v>1079.7997190476201</v>
      </c>
      <c r="D67" s="9">
        <v>31.758815266106399</v>
      </c>
      <c r="E67" s="1">
        <v>21</v>
      </c>
      <c r="F67" s="1"/>
    </row>
    <row r="68" ht="13.800000000000001">
      <c r="A68" s="1" t="s">
        <v>217</v>
      </c>
      <c r="B68" s="11" t="s">
        <v>254</v>
      </c>
      <c r="C68" s="9">
        <v>14.17</v>
      </c>
      <c r="D68" s="9">
        <v>0.41676470588235298</v>
      </c>
      <c r="E68" s="1">
        <v>1</v>
      </c>
      <c r="F68" s="1"/>
    </row>
    <row r="69" ht="13.800000000000001">
      <c r="A69" s="1" t="s">
        <v>255</v>
      </c>
      <c r="B69" s="11" t="s">
        <v>256</v>
      </c>
      <c r="C69" s="9">
        <v>8.7416999999999998</v>
      </c>
      <c r="D69" s="9">
        <v>0.257108823529412</v>
      </c>
      <c r="E69" s="1">
        <v>2</v>
      </c>
      <c r="F69" s="1"/>
    </row>
    <row r="70" ht="13.800000000000001">
      <c r="A70" s="1" t="s">
        <v>206</v>
      </c>
      <c r="B70" s="11" t="s">
        <v>257</v>
      </c>
      <c r="C70" s="9">
        <v>54.443300000000001</v>
      </c>
      <c r="D70" s="9">
        <v>1.6012735294117599</v>
      </c>
      <c r="E70" s="1">
        <v>3</v>
      </c>
      <c r="F70" s="1"/>
    </row>
    <row r="71" ht="13.800000000000001">
      <c r="A71" s="1" t="s">
        <v>217</v>
      </c>
      <c r="B71" s="11" t="s">
        <v>258</v>
      </c>
      <c r="C71" s="9">
        <v>86.670000000000002</v>
      </c>
      <c r="D71" s="9">
        <v>2.5491176470588202</v>
      </c>
      <c r="E71" s="1">
        <v>2</v>
      </c>
      <c r="F71" s="1"/>
    </row>
    <row r="72" ht="13.800000000000001">
      <c r="A72" s="1" t="s">
        <v>259</v>
      </c>
      <c r="B72" s="11" t="s">
        <v>260</v>
      </c>
      <c r="C72" s="12">
        <v>50</v>
      </c>
      <c r="D72" s="13">
        <v>1.47058823529412</v>
      </c>
      <c r="E72" s="14">
        <v>1</v>
      </c>
      <c r="F72" s="1"/>
    </row>
    <row r="73" ht="13.800000000000001">
      <c r="A73" s="1" t="s">
        <v>259</v>
      </c>
      <c r="B73" s="11" t="s">
        <v>261</v>
      </c>
      <c r="C73" s="12">
        <v>431.76900000000001</v>
      </c>
      <c r="D73" s="13">
        <v>12.6990882352941</v>
      </c>
      <c r="E73" s="14">
        <v>8</v>
      </c>
      <c r="F73" s="1"/>
    </row>
    <row r="74" ht="13.800000000000001">
      <c r="A74" s="1" t="s">
        <v>259</v>
      </c>
      <c r="B74" s="11" t="s">
        <v>262</v>
      </c>
      <c r="C74" s="12">
        <v>10</v>
      </c>
      <c r="D74" s="13">
        <v>0.29411764705882398</v>
      </c>
      <c r="E74" s="14">
        <v>1</v>
      </c>
      <c r="F74" s="1"/>
    </row>
    <row r="75" ht="13.800000000000001">
      <c r="A75" s="1" t="s">
        <v>176</v>
      </c>
      <c r="B75" s="11" t="s">
        <v>263</v>
      </c>
      <c r="C75" s="9">
        <v>21.1904761904762</v>
      </c>
      <c r="D75" s="9">
        <v>0.62324929971988796</v>
      </c>
      <c r="E75" s="1">
        <v>2</v>
      </c>
      <c r="F75" s="1"/>
    </row>
    <row r="76" ht="13.800000000000001">
      <c r="A76" s="1" t="s">
        <v>259</v>
      </c>
      <c r="B76" s="11" t="s">
        <v>264</v>
      </c>
      <c r="C76" s="9">
        <v>30</v>
      </c>
      <c r="D76" s="9">
        <v>0.88235294117647101</v>
      </c>
      <c r="E76" s="1">
        <v>1</v>
      </c>
      <c r="F76" s="1"/>
    </row>
    <row r="77" ht="13.800000000000001">
      <c r="A77" s="1" t="s">
        <v>217</v>
      </c>
      <c r="B77" s="11" t="s">
        <v>265</v>
      </c>
      <c r="C77" s="9">
        <v>85.582142857142898</v>
      </c>
      <c r="D77" s="9">
        <v>2.5171218487395</v>
      </c>
      <c r="E77" s="1">
        <v>4</v>
      </c>
      <c r="F77" s="1"/>
    </row>
    <row r="78" ht="13.800000000000001">
      <c r="A78" s="1" t="s">
        <v>220</v>
      </c>
      <c r="B78" s="11" t="s">
        <v>266</v>
      </c>
      <c r="C78" s="9">
        <v>10</v>
      </c>
      <c r="D78" s="9">
        <v>0.29411764705882398</v>
      </c>
      <c r="E78" s="1">
        <v>1</v>
      </c>
      <c r="F78" s="1"/>
    </row>
    <row r="79" ht="13.800000000000001">
      <c r="A79" s="1" t="s">
        <v>176</v>
      </c>
      <c r="B79" s="11" t="s">
        <v>267</v>
      </c>
      <c r="C79" s="9">
        <v>6</v>
      </c>
      <c r="D79" s="9">
        <v>0.17647058823529399</v>
      </c>
      <c r="E79" s="1">
        <v>1</v>
      </c>
      <c r="F79" s="1"/>
    </row>
    <row r="80" ht="13.800000000000001">
      <c r="A80" s="1" t="s">
        <v>176</v>
      </c>
      <c r="B80" s="11" t="s">
        <v>268</v>
      </c>
      <c r="C80" s="9">
        <v>8.25</v>
      </c>
      <c r="D80" s="9">
        <v>0.24264705882352899</v>
      </c>
      <c r="E80" s="1">
        <v>2</v>
      </c>
      <c r="F80" s="1"/>
    </row>
    <row r="81" ht="13.800000000000001">
      <c r="A81" s="1" t="s">
        <v>176</v>
      </c>
      <c r="B81" s="11" t="s">
        <v>269</v>
      </c>
      <c r="C81" s="9">
        <v>285.02999999999997</v>
      </c>
      <c r="D81" s="9">
        <v>8.3832352941176502</v>
      </c>
      <c r="E81" s="1">
        <v>11</v>
      </c>
      <c r="F81" s="1"/>
    </row>
    <row r="82" ht="13.800000000000001">
      <c r="A82" s="1" t="s">
        <v>176</v>
      </c>
      <c r="B82" s="11" t="s">
        <v>270</v>
      </c>
      <c r="C82" s="9">
        <v>85.049999999999997</v>
      </c>
      <c r="D82" s="9">
        <v>2.5014705882352901</v>
      </c>
      <c r="E82" s="1">
        <v>6</v>
      </c>
      <c r="F82" s="1"/>
    </row>
    <row r="83" ht="13.800000000000001">
      <c r="A83" s="1" t="s">
        <v>217</v>
      </c>
      <c r="B83" s="11" t="s">
        <v>271</v>
      </c>
      <c r="C83" s="9">
        <v>408.39896825396801</v>
      </c>
      <c r="D83" s="9">
        <v>12.0117343604108</v>
      </c>
      <c r="E83" s="1">
        <v>12</v>
      </c>
      <c r="F83" s="1"/>
    </row>
    <row r="84" ht="13.800000000000001">
      <c r="A84" s="1" t="s">
        <v>259</v>
      </c>
      <c r="B84" s="11" t="s">
        <v>272</v>
      </c>
      <c r="C84" s="9">
        <v>261.285666666667</v>
      </c>
      <c r="D84" s="9">
        <v>7.6848725490196097</v>
      </c>
      <c r="E84" s="1">
        <v>7</v>
      </c>
      <c r="F84" s="1"/>
    </row>
    <row r="85" ht="13.800000000000001">
      <c r="A85" s="1" t="s">
        <v>273</v>
      </c>
      <c r="B85" s="11" t="s">
        <v>274</v>
      </c>
      <c r="C85" s="9">
        <v>65.408500000000004</v>
      </c>
      <c r="D85" s="9">
        <v>1.92377941176471</v>
      </c>
      <c r="E85" s="1">
        <v>4</v>
      </c>
      <c r="F85" s="1"/>
    </row>
    <row r="86" ht="13.800000000000001">
      <c r="A86" s="1" t="s">
        <v>273</v>
      </c>
      <c r="B86" s="11" t="s">
        <v>275</v>
      </c>
      <c r="C86" s="9">
        <v>2</v>
      </c>
      <c r="D86" s="9">
        <v>0.058823529411764698</v>
      </c>
      <c r="E86" s="1">
        <v>1</v>
      </c>
      <c r="F86" s="1"/>
    </row>
    <row r="87" ht="13.800000000000001">
      <c r="A87" s="1" t="s">
        <v>206</v>
      </c>
      <c r="B87" s="11" t="s">
        <v>276</v>
      </c>
      <c r="C87" s="9">
        <v>87.5</v>
      </c>
      <c r="D87" s="9">
        <v>2.5735294117647101</v>
      </c>
      <c r="E87" s="1">
        <v>5</v>
      </c>
      <c r="F87" s="1"/>
    </row>
    <row r="88" ht="13.800000000000001">
      <c r="A88" s="1" t="s">
        <v>174</v>
      </c>
      <c r="B88" s="11" t="s">
        <v>277</v>
      </c>
      <c r="C88" s="9">
        <v>17.496700000000001</v>
      </c>
      <c r="D88" s="9">
        <v>0.51460882352941195</v>
      </c>
      <c r="E88" s="1">
        <v>2</v>
      </c>
      <c r="F88" s="1"/>
    </row>
  </sheetData>
  <autoFilter ref="A1:E88">
    <sortState ref="A2:E88">
      <sortCondition descending="0" ref="B1:B88"/>
    </sortState>
  </autoFilter>
  <printOptions headings="0" gridLines="0" horizontalCentered="0" verticalCentered="0"/>
  <pageMargins left="0.78750000000000009" right="0.78750000000000009" top="1.05277777777778" bottom="1.05277777777778" header="0.78750000000000009" footer="0.78750000000000009"/>
  <pageSetup paperSize="9" scale="100" fitToWidth="1" fitToHeight="1" pageOrder="downThenOver" orientation="portrait" usePrinterDefaults="1" blackAndWhite="0" draft="0" cellComments="none" useFirstPageNumber="0" errors="displayed" horizontalDpi="300" verticalDpi="300" copies="1"/>
  <headerFooter>
    <oddHeader>&amp;C&amp;"Times New Roman,Normal"&amp;12&amp;Kffffff&amp;A</oddHeader>
    <oddFooter>&amp;C&amp;"Times New Roman,Normal"&amp;12&amp;KffffffPágina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1" showRowColHeaders="1" showZeros="1" rightToLeft="0" view="normal" zoomScale="100" workbookViewId="0">
      <selection activeCell="A1" activeCellId="0" sqref="A1"/>
    </sheetView>
  </sheetViews>
  <sheetFormatPr defaultColWidth="8.54296875" defaultRowHeight="14.25" customHeight="1"/>
  <cols>
    <col customWidth="1" min="1" max="1" style="1" width="57.469999999999999"/>
    <col customWidth="1" min="2" max="2" style="1" width="26.34"/>
    <col customWidth="1" min="3" max="3" style="1" width="28.620000000000001"/>
    <col customWidth="1" min="4" max="4" style="1" width="11.529999999999999"/>
    <col customWidth="1" min="5" max="5" style="1" width="27.149999999999999"/>
    <col customWidth="1" min="6" max="16384" style="1" width="11.529999999999999"/>
  </cols>
  <sheetData>
    <row r="1" ht="14.25">
      <c r="A1" s="1" t="s">
        <v>170</v>
      </c>
      <c r="B1" s="1" t="s">
        <v>278</v>
      </c>
      <c r="C1" s="1" t="s">
        <v>279</v>
      </c>
      <c r="D1" s="1"/>
    </row>
    <row r="2" ht="14.25">
      <c r="A2" s="11" t="s">
        <v>184</v>
      </c>
      <c r="B2" s="1" t="s">
        <v>280</v>
      </c>
      <c r="C2" s="1" t="s">
        <v>281</v>
      </c>
    </row>
    <row r="3" ht="14.25">
      <c r="A3" s="11" t="s">
        <v>185</v>
      </c>
      <c r="B3" s="1" t="s">
        <v>280</v>
      </c>
      <c r="C3" s="1" t="s">
        <v>282</v>
      </c>
    </row>
    <row r="4" ht="14.25">
      <c r="A4" s="11" t="s">
        <v>194</v>
      </c>
      <c r="B4" s="1" t="s">
        <v>283</v>
      </c>
      <c r="C4" s="1" t="s">
        <v>284</v>
      </c>
    </row>
    <row r="5" ht="14.25">
      <c r="A5" s="11" t="s">
        <v>204</v>
      </c>
      <c r="B5" s="1" t="s">
        <v>280</v>
      </c>
      <c r="C5" s="1" t="s">
        <v>285</v>
      </c>
    </row>
    <row r="6" ht="14.25">
      <c r="A6" s="11" t="s">
        <v>214</v>
      </c>
      <c r="B6" s="1" t="s">
        <v>280</v>
      </c>
      <c r="C6" s="1" t="s">
        <v>286</v>
      </c>
    </row>
    <row r="7" ht="14.25">
      <c r="A7" s="11" t="s">
        <v>215</v>
      </c>
      <c r="B7" s="1" t="s">
        <v>283</v>
      </c>
      <c r="C7" s="1" t="s">
        <v>287</v>
      </c>
    </row>
    <row r="8" ht="14.25">
      <c r="A8" s="11" t="s">
        <v>219</v>
      </c>
      <c r="B8" s="1" t="s">
        <v>280</v>
      </c>
      <c r="C8" s="1" t="s">
        <v>288</v>
      </c>
    </row>
    <row r="9" ht="14.25">
      <c r="A9" s="11" t="s">
        <v>234</v>
      </c>
      <c r="B9" s="1" t="s">
        <v>280</v>
      </c>
      <c r="C9" s="1" t="s">
        <v>289</v>
      </c>
    </row>
    <row r="10" ht="14.25">
      <c r="A10" s="11" t="s">
        <v>237</v>
      </c>
      <c r="B10" s="1" t="s">
        <v>280</v>
      </c>
      <c r="C10" s="1" t="s">
        <v>290</v>
      </c>
    </row>
    <row r="11" ht="14.25">
      <c r="A11" s="11" t="s">
        <v>245</v>
      </c>
      <c r="B11" s="1" t="s">
        <v>280</v>
      </c>
      <c r="C11" s="1" t="s">
        <v>291</v>
      </c>
    </row>
    <row r="12" ht="14.25">
      <c r="A12" s="11" t="s">
        <v>249</v>
      </c>
      <c r="B12" s="1" t="s">
        <v>280</v>
      </c>
      <c r="C12" s="1" t="s">
        <v>292</v>
      </c>
    </row>
    <row r="13" ht="14.25">
      <c r="A13" s="11" t="s">
        <v>251</v>
      </c>
      <c r="B13" s="1" t="s">
        <v>280</v>
      </c>
      <c r="C13" s="1" t="s">
        <v>293</v>
      </c>
    </row>
    <row r="14" ht="14.25">
      <c r="A14" s="11" t="s">
        <v>253</v>
      </c>
      <c r="B14" s="1" t="s">
        <v>280</v>
      </c>
      <c r="C14" s="1" t="s">
        <v>294</v>
      </c>
    </row>
    <row r="15" ht="14.25">
      <c r="A15" s="11" t="s">
        <v>256</v>
      </c>
      <c r="B15" s="1" t="s">
        <v>280</v>
      </c>
      <c r="C15" s="1" t="s">
        <v>295</v>
      </c>
    </row>
    <row r="16" ht="14.25">
      <c r="A16" s="11" t="s">
        <v>257</v>
      </c>
      <c r="B16" s="1" t="s">
        <v>280</v>
      </c>
      <c r="C16" s="1" t="s">
        <v>296</v>
      </c>
    </row>
    <row r="17" ht="14.25">
      <c r="A17" s="11" t="s">
        <v>297</v>
      </c>
      <c r="B17" s="1" t="s">
        <v>280</v>
      </c>
      <c r="C17" s="1" t="s">
        <v>298</v>
      </c>
      <c r="D17" s="1"/>
    </row>
    <row r="18" ht="14.25">
      <c r="A18" s="11" t="s">
        <v>299</v>
      </c>
      <c r="B18" s="1" t="s">
        <v>280</v>
      </c>
      <c r="C18" s="1" t="s">
        <v>300</v>
      </c>
      <c r="D18" s="1"/>
    </row>
    <row r="19" ht="14.25">
      <c r="A19" s="11" t="s">
        <v>262</v>
      </c>
      <c r="B19" s="1" t="s">
        <v>301</v>
      </c>
      <c r="C19" s="1" t="s">
        <v>302</v>
      </c>
      <c r="D19" s="1"/>
    </row>
    <row r="20" ht="14.25">
      <c r="A20" s="11" t="s">
        <v>263</v>
      </c>
      <c r="B20" s="1" t="s">
        <v>280</v>
      </c>
      <c r="C20" s="1" t="s">
        <v>303</v>
      </c>
    </row>
    <row r="21" ht="14.25">
      <c r="A21" s="11" t="s">
        <v>272</v>
      </c>
      <c r="B21" s="1" t="s">
        <v>280</v>
      </c>
      <c r="C21" s="1" t="s">
        <v>304</v>
      </c>
      <c r="D21" s="1"/>
    </row>
    <row r="22" ht="14.25">
      <c r="A22" s="11" t="s">
        <v>274</v>
      </c>
      <c r="B22" s="1" t="s">
        <v>280</v>
      </c>
      <c r="C22" s="1" t="s">
        <v>305</v>
      </c>
    </row>
    <row r="23" ht="14.25">
      <c r="A23" s="11" t="s">
        <v>306</v>
      </c>
      <c r="B23" s="1" t="s">
        <v>280</v>
      </c>
      <c r="C23" s="1" t="s">
        <v>307</v>
      </c>
    </row>
    <row r="24" ht="14.25">
      <c r="A24" s="11" t="s">
        <v>178</v>
      </c>
      <c r="B24" s="1" t="s">
        <v>301</v>
      </c>
      <c r="C24" s="1" t="s">
        <v>308</v>
      </c>
    </row>
    <row r="25" ht="14.25">
      <c r="A25" s="11" t="s">
        <v>179</v>
      </c>
      <c r="B25" s="1" t="s">
        <v>301</v>
      </c>
      <c r="C25" s="1" t="s">
        <v>309</v>
      </c>
    </row>
    <row r="26" ht="14.25">
      <c r="A26" s="11" t="s">
        <v>182</v>
      </c>
      <c r="B26" s="1" t="s">
        <v>301</v>
      </c>
      <c r="C26" s="1" t="s">
        <v>310</v>
      </c>
    </row>
    <row r="27" ht="14.25">
      <c r="A27" s="11" t="s">
        <v>199</v>
      </c>
      <c r="B27" s="1" t="s">
        <v>301</v>
      </c>
      <c r="C27" s="1" t="s">
        <v>311</v>
      </c>
    </row>
    <row r="28" ht="14.25">
      <c r="A28" s="11" t="s">
        <v>200</v>
      </c>
      <c r="B28" s="1" t="s">
        <v>301</v>
      </c>
      <c r="C28" s="1" t="s">
        <v>312</v>
      </c>
    </row>
    <row r="29" ht="14.25">
      <c r="A29" s="11" t="s">
        <v>207</v>
      </c>
      <c r="B29" s="1" t="s">
        <v>301</v>
      </c>
      <c r="C29" s="1" t="s">
        <v>313</v>
      </c>
    </row>
    <row r="30" ht="14.25">
      <c r="A30" s="11" t="s">
        <v>218</v>
      </c>
      <c r="B30" s="1" t="s">
        <v>301</v>
      </c>
      <c r="C30" s="1" t="s">
        <v>314</v>
      </c>
    </row>
    <row r="31" ht="14.25">
      <c r="A31" s="11" t="s">
        <v>232</v>
      </c>
      <c r="B31" s="1" t="s">
        <v>301</v>
      </c>
      <c r="C31" s="1" t="s">
        <v>315</v>
      </c>
    </row>
    <row r="32" ht="14.25">
      <c r="A32" s="11" t="s">
        <v>248</v>
      </c>
      <c r="B32" s="1" t="s">
        <v>301</v>
      </c>
      <c r="C32" s="1" t="s">
        <v>316</v>
      </c>
    </row>
    <row r="33" ht="14.25">
      <c r="A33" s="11" t="s">
        <v>269</v>
      </c>
      <c r="B33" s="1" t="s">
        <v>301</v>
      </c>
      <c r="C33" s="1" t="s">
        <v>317</v>
      </c>
    </row>
    <row r="34" ht="14.25">
      <c r="A34" s="11" t="s">
        <v>271</v>
      </c>
      <c r="B34" s="1" t="s">
        <v>301</v>
      </c>
      <c r="C34" s="1" t="s">
        <v>318</v>
      </c>
    </row>
    <row r="35" ht="14.25">
      <c r="A35" s="11" t="s">
        <v>277</v>
      </c>
      <c r="B35" s="1" t="s">
        <v>319</v>
      </c>
      <c r="C35" s="1" t="s">
        <v>320</v>
      </c>
    </row>
    <row r="36" ht="14.25"/>
    <row r="51" ht="14.25" customHeight="1">
      <c r="D51" s="1"/>
    </row>
    <row r="52" ht="14.25">
      <c r="D52" s="1"/>
    </row>
    <row r="53" ht="14.25">
      <c r="D53" s="1"/>
    </row>
    <row r="1048575" ht="12.800000000000001" customHeight="1"/>
    <row r="1048576" ht="12.800000000000001" customHeight="1"/>
  </sheetData>
  <autoFilter ref="A1:C52"/>
  <printOptions headings="0" gridLines="0" horizontalCentered="0" verticalCentered="0"/>
  <pageMargins left="0.70069444444444484" right="0.70069444444444484" top="0.75208333333333299" bottom="0.75208333333333299"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extLst>
    <ext xmlns:x14="http://schemas.microsoft.com/office/spreadsheetml/2009/9/main" uri="{78C0D931-6437-407d-A8EE-F0AAD7539E65}">
      <x14:conditionalFormattings>
        <x14:conditionalFormatting xmlns:xm="http://schemas.microsoft.com/office/excel/2006/main">
          <x14:cfRule type="duplicateValues" priority="2" aboveAverage="0" rank="0" text="" id="{002F005E-00BC-4225-BED0-008B005500DF}">
            <x14:dxf>
              <font>
                <sz val="11.000000"/>
                <color rgb="FFCC0000"/>
                <name val="Calibri"/>
              </font>
            </x14:dxf>
          </x14:cfRule>
          <xm:sqref>A:A</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Template/>
  <Application>ONLYOFFICE/9.0.4.50</Application>
  <HeadingPairs>
    <vt:vector size="0" baseType="variant"/>
  </HeadingPairs>
  <TitlesOfParts>
    <vt:vector size="0" baseType="lpst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'Denilson .</dc:creator>
  <dc:description/>
  <dc:language>pt-BR</dc:language>
  <cp:revision>207</cp:revision>
  <dcterms:created xsi:type="dcterms:W3CDTF">2019-06-22T00:36:00Z</dcterms:created>
  <dcterms:modified xsi:type="dcterms:W3CDTF">2025-09-07T22:39:39Z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1046-10.1.0.6757</vt:lpwstr>
  </property>
</Properties>
</file>